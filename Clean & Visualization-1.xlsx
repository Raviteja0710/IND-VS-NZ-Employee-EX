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Projects\Excel-Employee Data\"/>
    </mc:Choice>
  </mc:AlternateContent>
  <bookViews>
    <workbookView xWindow="0" yWindow="0" windowWidth="23040" windowHeight="9072" firstSheet="1" activeTab="8"/>
  </bookViews>
  <sheets>
    <sheet name="New Zealand Staff" sheetId="2" r:id="rId1"/>
    <sheet name="Indian Staff" sheetId="1" r:id="rId2"/>
    <sheet name="Combined_Data" sheetId="3" r:id="rId3"/>
    <sheet name="3rd" sheetId="5" r:id="rId4"/>
    <sheet name="4th&amp;5th" sheetId="4" r:id="rId5"/>
    <sheet name="Charts" sheetId="7" r:id="rId6"/>
    <sheet name="2nd Chart" sheetId="9" r:id="rId7"/>
    <sheet name="3rd Chart" sheetId="12" r:id="rId8"/>
    <sheet name="Report" sheetId="13" r:id="rId9"/>
    <sheet name="Pivots" sheetId="15" r:id="rId10"/>
  </sheets>
  <definedNames>
    <definedName name="_xlchart.v1.0" hidden="1">Combined_Data!$H$5:$H$187</definedName>
    <definedName name="_xlcn.WorksheetConnection_CleanVisualization1.xlsxCombined_table" hidden="1">Combined_table[]</definedName>
    <definedName name="ExternalData_1" localSheetId="2" hidden="1">Combined_Data!$B$4:$I$187</definedName>
    <definedName name="Slicer_Country">#N/A</definedName>
  </definedNames>
  <calcPr calcId="162913"/>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bined_table" name="Combined_table" connection="WorksheetConnection_Clean &amp; Visualization-1.xlsx!Combined_table"/>
        </x15:modelTables>
        <x15:extLst>
          <ext xmlns:x16="http://schemas.microsoft.com/office/spreadsheetml/2014/11/main" uri="{9835A34E-60A6-4A7C-AAB8-D5F71C897F49}">
            <x16:modelTimeGroupings>
              <x16:modelTimeGrouping tableName="Combined_table"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Lst>
</workbook>
</file>

<file path=xl/calcChain.xml><?xml version="1.0" encoding="utf-8"?>
<calcChain xmlns="http://schemas.openxmlformats.org/spreadsheetml/2006/main">
  <c r="G3" i="13" l="1"/>
  <c r="E3" i="13"/>
  <c r="C3" i="13"/>
  <c r="J3" i="13"/>
  <c r="L3" i="13" s="1"/>
  <c r="N3" i="1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N18" i="4" l="1"/>
  <c r="O18" i="4" s="1"/>
  <c r="N19" i="4"/>
  <c r="O19" i="4" s="1"/>
  <c r="N20" i="4"/>
  <c r="O20" i="4" s="1"/>
  <c r="N21" i="4"/>
  <c r="O21" i="4" s="1"/>
  <c r="N22" i="4"/>
  <c r="O22" i="4" s="1"/>
  <c r="N23" i="4"/>
  <c r="O23" i="4" s="1"/>
  <c r="N24" i="4"/>
  <c r="O24" i="4" s="1"/>
  <c r="N25" i="4"/>
  <c r="O25" i="4" s="1"/>
  <c r="N26" i="4"/>
  <c r="O26" i="4" s="1"/>
  <c r="N27" i="4"/>
  <c r="O27" i="4" s="1"/>
  <c r="N28" i="4"/>
  <c r="O28" i="4" s="1"/>
  <c r="N29" i="4"/>
  <c r="O29" i="4" s="1"/>
  <c r="N30" i="4"/>
  <c r="O30" i="4" s="1"/>
  <c r="N31" i="4"/>
  <c r="O31" i="4" s="1"/>
  <c r="N32" i="4"/>
  <c r="O32" i="4" s="1"/>
  <c r="N33" i="4"/>
  <c r="O33" i="4" s="1"/>
  <c r="N34" i="4"/>
  <c r="O34" i="4" s="1"/>
  <c r="N35" i="4"/>
  <c r="O35" i="4" s="1"/>
  <c r="N36" i="4"/>
  <c r="O36" i="4" s="1"/>
  <c r="N37" i="4"/>
  <c r="O37" i="4" s="1"/>
  <c r="N38" i="4"/>
  <c r="O38" i="4" s="1"/>
  <c r="N39" i="4"/>
  <c r="O39" i="4" s="1"/>
  <c r="N40" i="4"/>
  <c r="O40" i="4" s="1"/>
  <c r="N41" i="4"/>
  <c r="O41" i="4" s="1"/>
  <c r="N42" i="4"/>
  <c r="O42" i="4" s="1"/>
  <c r="N43" i="4"/>
  <c r="O43" i="4" s="1"/>
  <c r="N44" i="4"/>
  <c r="O44" i="4" s="1"/>
  <c r="N45" i="4"/>
  <c r="O45" i="4" s="1"/>
  <c r="N46" i="4"/>
  <c r="O46" i="4" s="1"/>
  <c r="N47" i="4"/>
  <c r="O47" i="4" s="1"/>
  <c r="N48" i="4"/>
  <c r="O48" i="4" s="1"/>
  <c r="N49" i="4"/>
  <c r="O49" i="4" s="1"/>
  <c r="N50" i="4"/>
  <c r="O50" i="4" s="1"/>
  <c r="N51" i="4"/>
  <c r="O51" i="4" s="1"/>
  <c r="N52" i="4"/>
  <c r="O52" i="4" s="1"/>
  <c r="N53" i="4"/>
  <c r="O53" i="4" s="1"/>
  <c r="N54" i="4"/>
  <c r="O54" i="4" s="1"/>
  <c r="N55" i="4"/>
  <c r="O55" i="4" s="1"/>
  <c r="N56" i="4"/>
  <c r="O56" i="4" s="1"/>
  <c r="N57" i="4"/>
  <c r="O57" i="4" s="1"/>
  <c r="N58" i="4"/>
  <c r="O58" i="4" s="1"/>
  <c r="N59" i="4"/>
  <c r="O59" i="4" s="1"/>
  <c r="N60" i="4"/>
  <c r="O60" i="4" s="1"/>
  <c r="N61" i="4"/>
  <c r="O61" i="4" s="1"/>
  <c r="N62" i="4"/>
  <c r="O62" i="4" s="1"/>
  <c r="N63" i="4"/>
  <c r="O63" i="4" s="1"/>
  <c r="N64" i="4"/>
  <c r="O64" i="4" s="1"/>
  <c r="N65" i="4"/>
  <c r="O65" i="4" s="1"/>
  <c r="N66" i="4"/>
  <c r="O66" i="4" s="1"/>
  <c r="N67" i="4"/>
  <c r="O67" i="4" s="1"/>
  <c r="N68" i="4"/>
  <c r="O68" i="4" s="1"/>
  <c r="N69" i="4"/>
  <c r="O69" i="4" s="1"/>
  <c r="N70" i="4"/>
  <c r="O70" i="4" s="1"/>
  <c r="N71" i="4"/>
  <c r="O71" i="4" s="1"/>
  <c r="N72" i="4"/>
  <c r="O72" i="4" s="1"/>
  <c r="N73" i="4"/>
  <c r="O73" i="4" s="1"/>
  <c r="N74" i="4"/>
  <c r="O74" i="4" s="1"/>
  <c r="N75" i="4"/>
  <c r="O75" i="4" s="1"/>
  <c r="N76" i="4"/>
  <c r="O76" i="4" s="1"/>
  <c r="N77" i="4"/>
  <c r="O77" i="4" s="1"/>
  <c r="N78" i="4"/>
  <c r="O78" i="4" s="1"/>
  <c r="N79" i="4"/>
  <c r="O79" i="4" s="1"/>
  <c r="N80" i="4"/>
  <c r="O80" i="4" s="1"/>
  <c r="N81" i="4"/>
  <c r="O81" i="4" s="1"/>
  <c r="N82" i="4"/>
  <c r="O82" i="4" s="1"/>
  <c r="N83" i="4"/>
  <c r="O83" i="4" s="1"/>
  <c r="N84" i="4"/>
  <c r="O84" i="4" s="1"/>
  <c r="N85" i="4"/>
  <c r="O85" i="4" s="1"/>
  <c r="N86" i="4"/>
  <c r="O86" i="4" s="1"/>
  <c r="N87" i="4"/>
  <c r="O87" i="4" s="1"/>
  <c r="N88" i="4"/>
  <c r="O88" i="4" s="1"/>
  <c r="N89" i="4"/>
  <c r="O89" i="4" s="1"/>
  <c r="N90" i="4"/>
  <c r="O90" i="4" s="1"/>
  <c r="N91" i="4"/>
  <c r="O91" i="4" s="1"/>
  <c r="N92" i="4"/>
  <c r="O92" i="4" s="1"/>
  <c r="N93" i="4"/>
  <c r="O93" i="4" s="1"/>
  <c r="N94" i="4"/>
  <c r="O94" i="4" s="1"/>
  <c r="N95" i="4"/>
  <c r="O95" i="4" s="1"/>
  <c r="N96" i="4"/>
  <c r="O96" i="4" s="1"/>
  <c r="N97" i="4"/>
  <c r="O97" i="4" s="1"/>
  <c r="N98" i="4"/>
  <c r="O98" i="4" s="1"/>
  <c r="N99" i="4"/>
  <c r="O99" i="4" s="1"/>
  <c r="N100" i="4"/>
  <c r="O100" i="4" s="1"/>
  <c r="N101" i="4"/>
  <c r="O101" i="4" s="1"/>
  <c r="N102" i="4"/>
  <c r="O102" i="4" s="1"/>
  <c r="N103" i="4"/>
  <c r="O103" i="4" s="1"/>
  <c r="N104" i="4"/>
  <c r="O104" i="4" s="1"/>
  <c r="N105" i="4"/>
  <c r="O105" i="4" s="1"/>
  <c r="N106" i="4"/>
  <c r="O106" i="4" s="1"/>
  <c r="N107" i="4"/>
  <c r="O107" i="4" s="1"/>
  <c r="N108" i="4"/>
  <c r="O108" i="4" s="1"/>
  <c r="N109" i="4"/>
  <c r="O109" i="4" s="1"/>
  <c r="N110" i="4"/>
  <c r="O110" i="4" s="1"/>
  <c r="N111" i="4"/>
  <c r="O111" i="4" s="1"/>
  <c r="N112" i="4"/>
  <c r="O112" i="4" s="1"/>
  <c r="N113" i="4"/>
  <c r="O113" i="4" s="1"/>
  <c r="N114" i="4"/>
  <c r="O114" i="4" s="1"/>
  <c r="N115" i="4"/>
  <c r="O115" i="4" s="1"/>
  <c r="N116" i="4"/>
  <c r="O116" i="4" s="1"/>
  <c r="N117" i="4"/>
  <c r="O117" i="4" s="1"/>
  <c r="N118" i="4"/>
  <c r="O118" i="4" s="1"/>
  <c r="N119" i="4"/>
  <c r="O119" i="4" s="1"/>
  <c r="N120" i="4"/>
  <c r="O120" i="4" s="1"/>
  <c r="N121" i="4"/>
  <c r="O121" i="4" s="1"/>
  <c r="N122" i="4"/>
  <c r="O122" i="4" s="1"/>
  <c r="N123" i="4"/>
  <c r="O123" i="4" s="1"/>
  <c r="N124" i="4"/>
  <c r="O124" i="4" s="1"/>
  <c r="N125" i="4"/>
  <c r="O125" i="4" s="1"/>
  <c r="N126" i="4"/>
  <c r="O126" i="4" s="1"/>
  <c r="N127" i="4"/>
  <c r="O127" i="4" s="1"/>
  <c r="N128" i="4"/>
  <c r="O128" i="4" s="1"/>
  <c r="N129" i="4"/>
  <c r="O129" i="4" s="1"/>
  <c r="N130" i="4"/>
  <c r="O130" i="4" s="1"/>
  <c r="N131" i="4"/>
  <c r="O131" i="4" s="1"/>
  <c r="N132" i="4"/>
  <c r="O132" i="4" s="1"/>
  <c r="N133" i="4"/>
  <c r="O133" i="4" s="1"/>
  <c r="N134" i="4"/>
  <c r="O134" i="4" s="1"/>
  <c r="N135" i="4"/>
  <c r="O135" i="4" s="1"/>
  <c r="N136" i="4"/>
  <c r="O136" i="4" s="1"/>
  <c r="N137" i="4"/>
  <c r="O137" i="4" s="1"/>
  <c r="N138" i="4"/>
  <c r="O138" i="4" s="1"/>
  <c r="N139" i="4"/>
  <c r="O139" i="4" s="1"/>
  <c r="N140" i="4"/>
  <c r="O140" i="4" s="1"/>
  <c r="N141" i="4"/>
  <c r="O141" i="4" s="1"/>
  <c r="N142" i="4"/>
  <c r="O142" i="4" s="1"/>
  <c r="N143" i="4"/>
  <c r="O143" i="4" s="1"/>
  <c r="N144" i="4"/>
  <c r="O144" i="4" s="1"/>
  <c r="N145" i="4"/>
  <c r="O145" i="4" s="1"/>
  <c r="N146" i="4"/>
  <c r="O146" i="4" s="1"/>
  <c r="N147" i="4"/>
  <c r="O147" i="4" s="1"/>
  <c r="N148" i="4"/>
  <c r="O148" i="4" s="1"/>
  <c r="N149" i="4"/>
  <c r="O149" i="4" s="1"/>
  <c r="N150" i="4"/>
  <c r="O150" i="4" s="1"/>
  <c r="N151" i="4"/>
  <c r="O151" i="4" s="1"/>
  <c r="N152" i="4"/>
  <c r="O152" i="4" s="1"/>
  <c r="N153" i="4"/>
  <c r="O153" i="4" s="1"/>
  <c r="N154" i="4"/>
  <c r="O154" i="4" s="1"/>
  <c r="N155" i="4"/>
  <c r="O155" i="4" s="1"/>
  <c r="N156" i="4"/>
  <c r="O156" i="4" s="1"/>
  <c r="N157" i="4"/>
  <c r="O157" i="4" s="1"/>
  <c r="N158" i="4"/>
  <c r="O158" i="4" s="1"/>
  <c r="N159" i="4"/>
  <c r="O159" i="4" s="1"/>
  <c r="N160" i="4"/>
  <c r="O160" i="4" s="1"/>
  <c r="N161" i="4"/>
  <c r="O161" i="4" s="1"/>
  <c r="N162" i="4"/>
  <c r="O162" i="4" s="1"/>
  <c r="N163" i="4"/>
  <c r="O163" i="4" s="1"/>
  <c r="N164" i="4"/>
  <c r="O164" i="4" s="1"/>
  <c r="N165" i="4"/>
  <c r="O165" i="4" s="1"/>
  <c r="N166" i="4"/>
  <c r="O166" i="4" s="1"/>
  <c r="N167" i="4"/>
  <c r="O167" i="4" s="1"/>
  <c r="N168" i="4"/>
  <c r="O168" i="4" s="1"/>
  <c r="N169" i="4"/>
  <c r="O169" i="4" s="1"/>
  <c r="N170" i="4"/>
  <c r="O170" i="4" s="1"/>
  <c r="N171" i="4"/>
  <c r="O171" i="4" s="1"/>
  <c r="N172" i="4"/>
  <c r="O172" i="4" s="1"/>
  <c r="N173" i="4"/>
  <c r="O173" i="4" s="1"/>
  <c r="N174" i="4"/>
  <c r="O174" i="4" s="1"/>
  <c r="N175" i="4"/>
  <c r="O175" i="4" s="1"/>
  <c r="N176" i="4"/>
  <c r="O176" i="4" s="1"/>
  <c r="N177" i="4"/>
  <c r="O177" i="4" s="1"/>
  <c r="N178" i="4"/>
  <c r="O178" i="4" s="1"/>
  <c r="N179" i="4"/>
  <c r="O179" i="4" s="1"/>
  <c r="N180" i="4"/>
  <c r="O180" i="4" s="1"/>
  <c r="N181" i="4"/>
  <c r="O181" i="4" s="1"/>
  <c r="N182" i="4"/>
  <c r="O182" i="4" s="1"/>
  <c r="N183" i="4"/>
  <c r="O183" i="4" s="1"/>
  <c r="N184" i="4"/>
  <c r="O184" i="4" s="1"/>
  <c r="N185" i="4"/>
  <c r="O185" i="4" s="1"/>
  <c r="N186" i="4"/>
  <c r="O186" i="4" s="1"/>
  <c r="N187" i="4"/>
  <c r="O187" i="4" s="1"/>
  <c r="N188" i="4"/>
  <c r="O188" i="4" s="1"/>
  <c r="N189" i="4"/>
  <c r="O189" i="4" s="1"/>
  <c r="N190" i="4"/>
  <c r="O190" i="4" s="1"/>
  <c r="N191" i="4"/>
  <c r="O191" i="4" s="1"/>
  <c r="N192" i="4"/>
  <c r="O192" i="4" s="1"/>
  <c r="N193" i="4"/>
  <c r="O193" i="4" s="1"/>
  <c r="N194" i="4"/>
  <c r="O194" i="4" s="1"/>
  <c r="N195" i="4"/>
  <c r="O195" i="4" s="1"/>
  <c r="N196" i="4"/>
  <c r="O196" i="4" s="1"/>
  <c r="N197" i="4"/>
  <c r="O197" i="4" s="1"/>
  <c r="N198" i="4"/>
  <c r="O198" i="4" s="1"/>
  <c r="N199" i="4"/>
  <c r="O199" i="4" s="1"/>
  <c r="N200" i="4"/>
  <c r="O200" i="4" s="1"/>
  <c r="N26" i="3" l="1"/>
  <c r="N15" i="3"/>
  <c r="N29" i="3"/>
  <c r="N32" i="3"/>
  <c r="N31" i="3"/>
  <c r="N30" i="3"/>
  <c r="N28" i="3"/>
  <c r="N27" i="3"/>
  <c r="N19" i="3"/>
  <c r="N18" i="3" s="1"/>
  <c r="J165" i="3"/>
  <c r="J21" i="3"/>
  <c r="J145" i="3"/>
  <c r="J23" i="3"/>
  <c r="J178" i="3"/>
  <c r="J49" i="3"/>
  <c r="J133" i="3"/>
  <c r="J127" i="3"/>
  <c r="J93" i="3"/>
  <c r="J159" i="3"/>
  <c r="J149" i="3"/>
  <c r="J137" i="3"/>
  <c r="J27" i="3"/>
  <c r="J11" i="3"/>
  <c r="J166" i="3"/>
  <c r="J35" i="3"/>
  <c r="J184" i="3"/>
  <c r="J85" i="3"/>
  <c r="J111" i="3"/>
  <c r="J105" i="3"/>
  <c r="J47" i="3"/>
  <c r="J123" i="3"/>
  <c r="J9" i="3"/>
  <c r="J95" i="3"/>
  <c r="J13" i="3"/>
  <c r="J143" i="3"/>
  <c r="J53" i="3"/>
  <c r="J174" i="3"/>
  <c r="J15" i="3"/>
  <c r="J163" i="3"/>
  <c r="J25" i="3"/>
  <c r="J73" i="3"/>
  <c r="J141" i="3"/>
  <c r="J113" i="3"/>
  <c r="J37" i="3"/>
  <c r="J161" i="3"/>
  <c r="J186" i="3"/>
  <c r="J168" i="3"/>
  <c r="J176" i="3"/>
  <c r="J33" i="3"/>
  <c r="J101" i="3"/>
  <c r="J39" i="3"/>
  <c r="J117" i="3"/>
  <c r="J5" i="3"/>
  <c r="J97" i="3"/>
  <c r="J55" i="3"/>
  <c r="J151" i="3"/>
  <c r="J51" i="3"/>
  <c r="J129" i="3"/>
  <c r="J87" i="3"/>
  <c r="J103" i="3"/>
  <c r="J125" i="3"/>
  <c r="J63" i="3"/>
  <c r="J180" i="3"/>
  <c r="J69" i="3"/>
  <c r="J67" i="3"/>
  <c r="J131" i="3"/>
  <c r="J31" i="3"/>
  <c r="J115" i="3"/>
  <c r="J121" i="3"/>
  <c r="J79" i="3"/>
  <c r="J41" i="3"/>
  <c r="J19" i="3"/>
  <c r="J157" i="3"/>
  <c r="J139" i="3"/>
  <c r="J17" i="3"/>
  <c r="J91" i="3"/>
  <c r="J170" i="3"/>
  <c r="J119" i="3"/>
  <c r="J42" i="3"/>
  <c r="J81" i="3"/>
  <c r="J75" i="3"/>
  <c r="J83" i="3"/>
  <c r="J61" i="3"/>
  <c r="J153" i="3"/>
  <c r="J182" i="3"/>
  <c r="J107" i="3"/>
  <c r="J172" i="3"/>
  <c r="J147" i="3"/>
  <c r="J77" i="3"/>
  <c r="J7" i="3"/>
  <c r="J65" i="3"/>
  <c r="J155" i="3"/>
  <c r="J71" i="3"/>
  <c r="J99" i="3"/>
  <c r="J45" i="3"/>
  <c r="J109" i="3"/>
  <c r="J57" i="3"/>
  <c r="J89" i="3"/>
  <c r="J59" i="3"/>
  <c r="J29" i="3"/>
  <c r="J135" i="3"/>
  <c r="J169" i="3"/>
  <c r="J90" i="3"/>
  <c r="J40" i="3"/>
  <c r="J179" i="3"/>
  <c r="J43" i="3"/>
  <c r="J164" i="3"/>
  <c r="J30" i="3"/>
  <c r="J66" i="3"/>
  <c r="J46" i="3"/>
  <c r="J187" i="3"/>
  <c r="J162" i="3"/>
  <c r="J72" i="3"/>
  <c r="J82" i="3"/>
  <c r="J156" i="3"/>
  <c r="J22" i="3"/>
  <c r="J140" i="3"/>
  <c r="J12" i="3"/>
  <c r="J52" i="3"/>
  <c r="J18" i="3"/>
  <c r="J102" i="3"/>
  <c r="J56" i="3"/>
  <c r="J76" i="3"/>
  <c r="J54" i="3"/>
  <c r="J34" i="3"/>
  <c r="J68" i="3"/>
  <c r="J96" i="3"/>
  <c r="J122" i="3"/>
  <c r="J8" i="3"/>
  <c r="J104" i="3"/>
  <c r="J62" i="3"/>
  <c r="J100" i="3"/>
  <c r="J181" i="3"/>
  <c r="J110" i="3"/>
  <c r="J160" i="3"/>
  <c r="J36" i="3"/>
  <c r="J142" i="3"/>
  <c r="J136" i="3"/>
  <c r="J146" i="3"/>
  <c r="J32" i="3"/>
  <c r="J38" i="3"/>
  <c r="J108" i="3"/>
  <c r="J120" i="3"/>
  <c r="J116" i="3"/>
  <c r="J132" i="3"/>
  <c r="J167" i="3"/>
  <c r="J112" i="3"/>
  <c r="J80" i="3"/>
  <c r="J114" i="3"/>
  <c r="J58" i="3"/>
  <c r="J185" i="3"/>
  <c r="J28" i="3"/>
  <c r="J24" i="3"/>
  <c r="J177" i="3"/>
  <c r="J86" i="3"/>
  <c r="J92" i="3"/>
  <c r="J158" i="3"/>
  <c r="J171" i="3"/>
  <c r="J84" i="3"/>
  <c r="J183" i="3"/>
  <c r="J106" i="3"/>
  <c r="J175" i="3"/>
  <c r="J128" i="3"/>
  <c r="J152" i="3"/>
  <c r="J48" i="3"/>
  <c r="J126" i="3"/>
  <c r="J50" i="3"/>
  <c r="J134" i="3"/>
  <c r="J74" i="3"/>
  <c r="J26" i="3"/>
  <c r="J64" i="3"/>
  <c r="J148" i="3"/>
  <c r="J124" i="3"/>
  <c r="J144" i="3"/>
  <c r="J173" i="3"/>
  <c r="J6" i="3"/>
  <c r="J154" i="3"/>
  <c r="J14" i="3"/>
  <c r="J130" i="3"/>
  <c r="J10" i="3"/>
  <c r="J150" i="3"/>
  <c r="J138" i="3"/>
  <c r="J118" i="3"/>
  <c r="J20" i="3"/>
  <c r="J60" i="3"/>
  <c r="J70" i="3"/>
  <c r="J16" i="3"/>
  <c r="J98" i="3"/>
  <c r="J94" i="3"/>
  <c r="J78" i="3"/>
  <c r="J88" i="3"/>
  <c r="J44" i="3"/>
  <c r="P16" i="3"/>
  <c r="P15" i="3"/>
  <c r="N16" i="3"/>
  <c r="N14" i="3"/>
  <c r="E109" i="2"/>
  <c r="G109" i="2"/>
  <c r="H109" i="2"/>
  <c r="N33" i="3" l="1"/>
  <c r="N17" i="3"/>
</calcChain>
</file>

<file path=xl/connections.xml><?xml version="1.0" encoding="utf-8"?>
<connections xmlns="http://schemas.openxmlformats.org/spreadsheetml/2006/main">
  <connection id="1" keepAlive="1" name="Query - Combined_table" description="Connection to the 'Combined_table' query in the workbook." type="5" refreshedVersion="6" background="1" saveData="1">
    <dbPr connection="Provider=Microsoft.Mashup.OleDb.1;Data Source=$Workbook$;Location=Combined_table;Extended Properties=&quot;&quot;" command="SELECT * FROM [Combined_table]"/>
  </connection>
  <connection id="2" keepAlive="1" name="Query - Combined_table (2)" description="Connection to the 'Combined_table (2)' query in the workbook." type="5" refreshedVersion="6" background="1" saveData="1">
    <dbPr connection="Provider=Microsoft.Mashup.OleDb.1;Data Source=$Workbook$;Location=&quot;Combined_table (2)&quot;;Extended Properties=&quot;&quot;" command="SELECT * FROM [Combined_table (2)]"/>
  </connection>
  <connection id="3" keepAlive="1" name="Query - India_table" description="Connection to the 'India_table' query in the workbook." type="5" refreshedVersion="0" background="1">
    <dbPr connection="Provider=Microsoft.Mashup.OleDb.1;Data Source=$Workbook$;Location=India_table;Extended Properties=&quot;&quot;" command="SELECT * FROM [India_table]"/>
  </connection>
  <connection id="4" keepAlive="1" name="Query - nz_table" description="Connection to the 'nz_table' query in the workbook." type="5" refreshedVersion="0" background="1">
    <dbPr connection="Provider=Microsoft.Mashup.OleDb.1;Data Source=$Workbook$;Location=nz_table;Extended Properties=&quot;&quot;" command="SELECT * FROM [nz_table]"/>
  </connection>
  <connection id="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name="WorksheetConnection_Clean &amp; Visualization-1.xlsx!Combined_table" type="102" refreshedVersion="6" minRefreshableVersion="5">
    <extLst>
      <ext xmlns:x15="http://schemas.microsoft.com/office/spreadsheetml/2010/11/main" uri="{DE250136-89BD-433C-8126-D09CA5730AF9}">
        <x15:connection id="Combined_table" autoDelete="1">
          <x15:rangePr sourceName="_xlcn.WorksheetConnection_CleanVisualization1.xlsxCombined_table"/>
        </x15:connection>
      </ext>
    </extLst>
  </connection>
</connections>
</file>

<file path=xl/sharedStrings.xml><?xml version="1.0" encoding="utf-8"?>
<sst xmlns="http://schemas.openxmlformats.org/spreadsheetml/2006/main" count="2945" uniqueCount="269">
  <si>
    <t>Employee Data - India</t>
  </si>
  <si>
    <t>Name</t>
  </si>
  <si>
    <t>Gender</t>
  </si>
  <si>
    <t>Age</t>
  </si>
  <si>
    <t>Rating</t>
  </si>
  <si>
    <t>Date Joined</t>
  </si>
  <si>
    <t>Department</t>
  </si>
  <si>
    <t>Salary</t>
  </si>
  <si>
    <t>Deepali Charan</t>
  </si>
  <si>
    <t>Male</t>
  </si>
  <si>
    <t>Average</t>
  </si>
  <si>
    <t>Website</t>
  </si>
  <si>
    <t>Yagna Sujeev</t>
  </si>
  <si>
    <t>Female</t>
  </si>
  <si>
    <t>Above average</t>
  </si>
  <si>
    <t>Satyendra Venkatadri</t>
  </si>
  <si>
    <t>Procurement</t>
  </si>
  <si>
    <t>Madhavdas Buhpathi</t>
  </si>
  <si>
    <t>HR</t>
  </si>
  <si>
    <t>Sahila Chandrasekhar</t>
  </si>
  <si>
    <t>Poor</t>
  </si>
  <si>
    <t>Finance</t>
  </si>
  <si>
    <t>Mirium Seemantini Shivakumar</t>
  </si>
  <si>
    <t>Sales</t>
  </si>
  <si>
    <t>Purnendu Vijayarangan</t>
  </si>
  <si>
    <t>Rukma Vinita</t>
  </si>
  <si>
    <t>Yauvani Tarpa</t>
  </si>
  <si>
    <t>Damayanti Thangavadivelu</t>
  </si>
  <si>
    <t>Manjusri Ruchi</t>
  </si>
  <si>
    <t>Mithil Nadkarni</t>
  </si>
  <si>
    <t>Ardhendu Abhichandra Jayakar</t>
  </si>
  <si>
    <t>Akbar Sorabhjee</t>
  </si>
  <si>
    <t>Bandhula Sathyanna</t>
  </si>
  <si>
    <t>Daruka Ghazali</t>
  </si>
  <si>
    <t>Heer Pennathur</t>
  </si>
  <si>
    <t>Shekhar Eswara</t>
  </si>
  <si>
    <t>Udyan Lanka</t>
  </si>
  <si>
    <t>Shreela Ramasubraman</t>
  </si>
  <si>
    <t>Sanchali Shirish</t>
  </si>
  <si>
    <t>Gangadutt Ragha</t>
  </si>
  <si>
    <t>Waheeda Vasuman</t>
  </si>
  <si>
    <t>Nanak Sapna</t>
  </si>
  <si>
    <t>Exceptional</t>
  </si>
  <si>
    <t>Shobhana Samuel</t>
  </si>
  <si>
    <t>Amlankusum Rajabhushan</t>
  </si>
  <si>
    <t>Pratigya Rema</t>
  </si>
  <si>
    <t>Ramnath Ravuri</t>
  </si>
  <si>
    <t>Prerana Nishita</t>
  </si>
  <si>
    <t>Makshi Vinutha</t>
  </si>
  <si>
    <t>Shiuli Sapna</t>
  </si>
  <si>
    <t>Agrata Rajarama</t>
  </si>
  <si>
    <t>Vasu Nandin</t>
  </si>
  <si>
    <t>Bhuvan Pals</t>
  </si>
  <si>
    <t>Gumwant Veera</t>
  </si>
  <si>
    <t>Narois Motiwala</t>
  </si>
  <si>
    <t>Anjushri Chandiramani</t>
  </si>
  <si>
    <t>Krishnakanta Vellanki</t>
  </si>
  <si>
    <t>Dhruv Manjunath</t>
  </si>
  <si>
    <t>Vanmala Shriharsha</t>
  </si>
  <si>
    <t>Sameer Shashank Sapra</t>
  </si>
  <si>
    <t>Anumati Shyamari Meherhomji</t>
  </si>
  <si>
    <t>Tarala Vishaal</t>
  </si>
  <si>
    <t>Shubhra Potla</t>
  </si>
  <si>
    <t>Hemavati Muthiah</t>
  </si>
  <si>
    <t>Krittika Gaekwad</t>
  </si>
  <si>
    <t>Shevantilal Muppala</t>
  </si>
  <si>
    <t>Shattesh Utpat</t>
  </si>
  <si>
    <t>Kamalakshi Mukundan</t>
  </si>
  <si>
    <t>Chandana Sannidhi Surnilla</t>
  </si>
  <si>
    <t>Indu Varada Sumedh</t>
  </si>
  <si>
    <t>Karuna Pashupathy</t>
  </si>
  <si>
    <t>Mardav Ramaswami</t>
  </si>
  <si>
    <t>Sarayu Ragunathan</t>
  </si>
  <si>
    <t>Kevalkumar Solanki</t>
  </si>
  <si>
    <t>Upendra Swati</t>
  </si>
  <si>
    <t>Deepit Ranjana</t>
  </si>
  <si>
    <t>Amal Nimesh</t>
  </si>
  <si>
    <t>Kunja Prashanta Vibha</t>
  </si>
  <si>
    <t>Godavari Veena</t>
  </si>
  <si>
    <t>Devasree Fullara Saurin</t>
  </si>
  <si>
    <t>Geena Raghavanpillai</t>
  </si>
  <si>
    <t>Rupak Mehra</t>
  </si>
  <si>
    <t>Very poor</t>
  </si>
  <si>
    <t>Sawini Chandan</t>
  </si>
  <si>
    <t>Baruna Ogale</t>
  </si>
  <si>
    <t>Jagajeet Viraj</t>
  </si>
  <si>
    <t>Kulbhushan Moorthy</t>
  </si>
  <si>
    <t>Ilesh Dasgupta</t>
  </si>
  <si>
    <t>Madhumati Gazala Soumitra</t>
  </si>
  <si>
    <t>Chitrasen Laul</t>
  </si>
  <si>
    <t>Jaishree Atasi Yavatkar</t>
  </si>
  <si>
    <t>Kantimoy Pritish</t>
  </si>
  <si>
    <t>Rameshwari Chikodi</t>
  </si>
  <si>
    <t>Lalit Kothari</t>
  </si>
  <si>
    <t>Sahas Sanabhi Shrikant</t>
  </si>
  <si>
    <t>Kaishori Harathi Kateel</t>
  </si>
  <si>
    <t>Rushil Kripa</t>
  </si>
  <si>
    <t>Sarojini Naueshwara</t>
  </si>
  <si>
    <t>Sartaj Probal</t>
  </si>
  <si>
    <t>Mahindra Sreedharan</t>
  </si>
  <si>
    <t>Suchira Bhanupriya Tapti</t>
  </si>
  <si>
    <t>Fullara Sushanti Mokate</t>
  </si>
  <si>
    <t>Hridaynath Tendulkar</t>
  </si>
  <si>
    <t>Abhaya Priyavardhan</t>
  </si>
  <si>
    <t>Ayog Chakrabarti</t>
  </si>
  <si>
    <t>Pragya Nilufar</t>
  </si>
  <si>
    <t>Shulabh Qutub Sundaramoorthy</t>
  </si>
  <si>
    <t>Vinanti Choudhari</t>
  </si>
  <si>
    <t>Ranajay Kailashnath Richa</t>
  </si>
  <si>
    <t>Asija Pothireddy</t>
  </si>
  <si>
    <t>Piyali Mahanthapa</t>
  </si>
  <si>
    <t>Sukhdev Nageshwar</t>
  </si>
  <si>
    <t>Employee Data - New Zealand</t>
  </si>
  <si>
    <t>Lindy Guillet</t>
  </si>
  <si>
    <t>Ambros Murthwaite</t>
  </si>
  <si>
    <t>Tatum Hush</t>
  </si>
  <si>
    <t>Benny Karolovsky</t>
  </si>
  <si>
    <t>Hoyt D'Alesco</t>
  </si>
  <si>
    <t>Halimeda Kuscha</t>
  </si>
  <si>
    <t>Erin Androsik</t>
  </si>
  <si>
    <t>Vic Radolf</t>
  </si>
  <si>
    <t>William Reeveley</t>
  </si>
  <si>
    <t>Ewart Laphorn</t>
  </si>
  <si>
    <t>Bev Lashley</t>
  </si>
  <si>
    <t>Kath Bletsoe</t>
  </si>
  <si>
    <t>Murry Dryburgh</t>
  </si>
  <si>
    <t>Kaine Padly</t>
  </si>
  <si>
    <t>Kassi Jonson</t>
  </si>
  <si>
    <t>Simon Kembery</t>
  </si>
  <si>
    <t>Orton Livick</t>
  </si>
  <si>
    <t>Kelci Walkden</t>
  </si>
  <si>
    <t>Dotty Strutley</t>
  </si>
  <si>
    <t>Shari McNee</t>
  </si>
  <si>
    <t>Oby Sorrel</t>
  </si>
  <si>
    <t>Husein Augar</t>
  </si>
  <si>
    <t>Brien Boise</t>
  </si>
  <si>
    <t>Esmaria Denecamp</t>
  </si>
  <si>
    <t>Curtice Advani</t>
  </si>
  <si>
    <t>Barr Faughny</t>
  </si>
  <si>
    <t>Merrilee Plenty</t>
  </si>
  <si>
    <t>Niall Selesnick</t>
  </si>
  <si>
    <t>Beverie Moffet</t>
  </si>
  <si>
    <t>Jehu Rudeforth</t>
  </si>
  <si>
    <t>Camilla Castle</t>
  </si>
  <si>
    <t>Roddy Speechley</t>
  </si>
  <si>
    <t>Gray Seamon</t>
  </si>
  <si>
    <t>Madelene Upcott</t>
  </si>
  <si>
    <t>Violante Courtonne</t>
  </si>
  <si>
    <t>Bernie Gorges</t>
  </si>
  <si>
    <t>Torrance Collier</t>
  </si>
  <si>
    <t>Dyna Doucette</t>
  </si>
  <si>
    <t>Gunar Cockshoot</t>
  </si>
  <si>
    <t>Kaye Crocroft</t>
  </si>
  <si>
    <t>Allene Gobbet</t>
  </si>
  <si>
    <t>Sibyl Dunkirk</t>
  </si>
  <si>
    <t>Agnes Collicott</t>
  </si>
  <si>
    <t>Leilah Yesinin</t>
  </si>
  <si>
    <t>Mollie Hanway</t>
  </si>
  <si>
    <t>Kellsie Waby</t>
  </si>
  <si>
    <t>Hyacinthie Braybrooke</t>
  </si>
  <si>
    <t>Van Tuxwell</t>
  </si>
  <si>
    <t>Lilyan Klimpt</t>
  </si>
  <si>
    <t>Tawnya Tickel</t>
  </si>
  <si>
    <t>Jan Morforth</t>
  </si>
  <si>
    <t>Florinda Crace</t>
  </si>
  <si>
    <t>Tracy Renad</t>
  </si>
  <si>
    <t>Myer McCory</t>
  </si>
  <si>
    <t>Bennie Pepis</t>
  </si>
  <si>
    <t>Rafaelita Blaksland</t>
  </si>
  <si>
    <t>Mahalia Larcher</t>
  </si>
  <si>
    <t>Andria Kimpton</t>
  </si>
  <si>
    <t>Valentia Etteridge</t>
  </si>
  <si>
    <t>Virginia McConville</t>
  </si>
  <si>
    <t>Wilone O'Kielt</t>
  </si>
  <si>
    <t>Madge McCloughen</t>
  </si>
  <si>
    <t>Janene Hairsine</t>
  </si>
  <si>
    <t>Alta Kaszper</t>
  </si>
  <si>
    <t>Dennison Crosswaite</t>
  </si>
  <si>
    <t>Oran Buxcy</t>
  </si>
  <si>
    <t>Hinda Label</t>
  </si>
  <si>
    <t>Marney O'Breen</t>
  </si>
  <si>
    <t>Dell Molloy</t>
  </si>
  <si>
    <t>Mallorie Waber</t>
  </si>
  <si>
    <t>Cherlyn Barter</t>
  </si>
  <si>
    <t>Ches Bonnell</t>
  </si>
  <si>
    <t>Collin Jagson</t>
  </si>
  <si>
    <t>Hogan Iles</t>
  </si>
  <si>
    <t>Gretchen Callow</t>
  </si>
  <si>
    <t>Kissiah Maydway</t>
  </si>
  <si>
    <t>Archibald Filliskirk</t>
  </si>
  <si>
    <t>Enoch Dowrey</t>
  </si>
  <si>
    <t>Bili Sizey</t>
  </si>
  <si>
    <t>Caro Chappel</t>
  </si>
  <si>
    <t>Constantino Espley</t>
  </si>
  <si>
    <t>Karlen McCaffrey</t>
  </si>
  <si>
    <t>Drusy MacCombe</t>
  </si>
  <si>
    <t>My Hanscome</t>
  </si>
  <si>
    <t>Teressa Udden</t>
  </si>
  <si>
    <t>Crissie Cordel</t>
  </si>
  <si>
    <t>Elia Cockton</t>
  </si>
  <si>
    <t>Gigi Bohling</t>
  </si>
  <si>
    <t>Ebonee Roxburgh</t>
  </si>
  <si>
    <t>Shayne Stegel</t>
  </si>
  <si>
    <t>Zach Polon</t>
  </si>
  <si>
    <t>Total</t>
  </si>
  <si>
    <t>Country</t>
  </si>
  <si>
    <t>IND</t>
  </si>
  <si>
    <t>Other</t>
  </si>
  <si>
    <t>NZ</t>
  </si>
  <si>
    <t>Business Questions</t>
  </si>
  <si>
    <t>1.Quick Analysis Of The Data-Basic Calculations?</t>
  </si>
  <si>
    <t>2.Information Finder- About Employee?</t>
  </si>
  <si>
    <t>3.Extended Into Finder -Department?</t>
  </si>
  <si>
    <t>4.Comprasiono Of The Male VS Female?</t>
  </si>
  <si>
    <t>5.Calculate Annual Bonus Of Employees?</t>
  </si>
  <si>
    <t>Count Of Employees</t>
  </si>
  <si>
    <t>Average Salary</t>
  </si>
  <si>
    <t>Average Age</t>
  </si>
  <si>
    <t>Average Tenure</t>
  </si>
  <si>
    <t>Female Ratio %</t>
  </si>
  <si>
    <t>1st Question</t>
  </si>
  <si>
    <t>Median</t>
  </si>
  <si>
    <t>Tenure</t>
  </si>
  <si>
    <t>Female Count</t>
  </si>
  <si>
    <t>2nd Question</t>
  </si>
  <si>
    <t>3rd Question</t>
  </si>
  <si>
    <t>Number of Employees</t>
  </si>
  <si>
    <t>4th Question</t>
  </si>
  <si>
    <t>Column Labels</t>
  </si>
  <si>
    <t>Count of Name</t>
  </si>
  <si>
    <t>Values</t>
  </si>
  <si>
    <t>Average of Age</t>
  </si>
  <si>
    <t>Average of Salary</t>
  </si>
  <si>
    <t>Average of Tenure</t>
  </si>
  <si>
    <t>Bonus</t>
  </si>
  <si>
    <t>5th Question</t>
  </si>
  <si>
    <t>1.Analyse Salary Spread?</t>
  </si>
  <si>
    <t>2.Relationship Between Salary and Rating ?</t>
  </si>
  <si>
    <t>3.Company Growth over Time?</t>
  </si>
  <si>
    <t>4.Regional Scorecard?</t>
  </si>
  <si>
    <t>Questions</t>
  </si>
  <si>
    <t>Above Average</t>
  </si>
  <si>
    <t>very poor</t>
  </si>
  <si>
    <t>Row Labels</t>
  </si>
  <si>
    <t>Grand Total</t>
  </si>
  <si>
    <t>Rating as number</t>
  </si>
  <si>
    <t>2020</t>
  </si>
  <si>
    <t>May</t>
  </si>
  <si>
    <t>Jun</t>
  </si>
  <si>
    <t>Jul</t>
  </si>
  <si>
    <t>Aug</t>
  </si>
  <si>
    <t>Sep</t>
  </si>
  <si>
    <t>Oct</t>
  </si>
  <si>
    <t>Nov</t>
  </si>
  <si>
    <t>Dec</t>
  </si>
  <si>
    <t>2021</t>
  </si>
  <si>
    <t>Jan</t>
  </si>
  <si>
    <t>Feb</t>
  </si>
  <si>
    <t>Mar</t>
  </si>
  <si>
    <t>Apr</t>
  </si>
  <si>
    <t>2022</t>
  </si>
  <si>
    <t>2023</t>
  </si>
  <si>
    <t>Running Total</t>
  </si>
  <si>
    <t>Head Count By Department</t>
  </si>
  <si>
    <t>India</t>
  </si>
  <si>
    <t>New Zealand</t>
  </si>
  <si>
    <t>Charts &amp; Reports</t>
  </si>
  <si>
    <t>Head Count</t>
  </si>
  <si>
    <t>Female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</si>
</sst>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8" formatCode="&quot;₹&quot;\ #,##0.00;[Red]&quot;₹&quot;\ \-#,##0.00"/>
    <numFmt numFmtId="164" formatCode="[$$-409]#,##0.00_ ;[Red]\-[$$-409]#,##0.00\ "/>
    <numFmt numFmtId="165" formatCode="0.0"/>
    <numFmt numFmtId="166" formatCode="[$$-409]#,##0"/>
    <numFmt numFmtId="167" formatCode="[$$-409]#,##0_ ;[Red]\-[$$-409]#,##0\ "/>
  </numFmts>
  <fonts count="15" x14ac:knownFonts="1">
    <font>
      <sz val="11"/>
      <color theme="1"/>
      <name val="Calibri"/>
      <family val="2"/>
      <scheme val="minor"/>
    </font>
    <font>
      <b/>
      <sz val="11"/>
      <color theme="1"/>
      <name val="Calibri"/>
      <family val="2"/>
      <scheme val="minor"/>
    </font>
    <font>
      <b/>
      <sz val="28"/>
      <color theme="1"/>
      <name val="Times New Roman"/>
      <family val="1"/>
    </font>
    <font>
      <sz val="11"/>
      <color rgb="FF000000"/>
      <name val="Calibri"/>
      <family val="2"/>
      <scheme val="minor"/>
    </font>
    <font>
      <b/>
      <sz val="11"/>
      <color rgb="FF000000"/>
      <name val="Calibri"/>
      <family val="2"/>
      <scheme val="minor"/>
    </font>
    <font>
      <sz val="11"/>
      <color theme="9" tint="-0.249977111117893"/>
      <name val="Calibri"/>
      <family val="2"/>
      <scheme val="minor"/>
    </font>
    <font>
      <sz val="28"/>
      <color theme="1"/>
      <name val="Segoe UI Black"/>
      <family val="2"/>
    </font>
    <font>
      <sz val="48"/>
      <color theme="1"/>
      <name val="Segoe UI Black"/>
      <family val="2"/>
    </font>
    <font>
      <sz val="48"/>
      <color theme="0"/>
      <name val="Segoe UI Black"/>
      <family val="2"/>
    </font>
    <font>
      <sz val="28"/>
      <color theme="0"/>
      <name val="Segoe UI Black"/>
      <family val="2"/>
    </font>
    <font>
      <sz val="20"/>
      <color theme="1"/>
      <name val="Segoe UI Black"/>
      <family val="2"/>
    </font>
    <font>
      <sz val="20"/>
      <color theme="0"/>
      <name val="Segoe UI Black"/>
      <family val="2"/>
    </font>
    <font>
      <sz val="18"/>
      <color theme="1"/>
      <name val="Segoe UI Light"/>
      <family val="2"/>
    </font>
    <font>
      <sz val="11"/>
      <color theme="1"/>
      <name val="Segoe UI Light"/>
      <family val="2"/>
    </font>
    <font>
      <sz val="28"/>
      <color theme="1"/>
      <name val="Segoe UI Light"/>
      <family val="2"/>
    </font>
  </fonts>
  <fills count="17">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rgb="FFFFE699"/>
        <bgColor rgb="FF000000"/>
      </patternFill>
    </fill>
    <fill>
      <patternFill patternType="solid">
        <fgColor rgb="FFB4C6E7"/>
        <bgColor rgb="FF000000"/>
      </patternFill>
    </fill>
    <fill>
      <patternFill patternType="solid">
        <fgColor rgb="FFFF0000"/>
        <bgColor rgb="FF000000"/>
      </patternFill>
    </fill>
    <fill>
      <patternFill patternType="solid">
        <fgColor rgb="FFFFFF00"/>
        <bgColor rgb="FF000000"/>
      </patternFill>
    </fill>
    <fill>
      <patternFill patternType="solid">
        <fgColor theme="7" tint="0.59999389629810485"/>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theme="2"/>
        <bgColor indexed="64"/>
      </patternFill>
    </fill>
    <fill>
      <patternFill patternType="solid">
        <fgColor theme="5"/>
        <bgColor indexed="64"/>
      </patternFill>
    </fill>
    <fill>
      <patternFill patternType="solid">
        <fgColor theme="4"/>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2">
    <xf numFmtId="0" fontId="0" fillId="0" borderId="0" xfId="0"/>
    <xf numFmtId="15" fontId="0" fillId="0" borderId="0" xfId="0" applyNumberFormat="1"/>
    <xf numFmtId="0" fontId="0" fillId="0" borderId="0" xfId="0" applyFont="1"/>
    <xf numFmtId="8" fontId="0" fillId="0" borderId="0" xfId="0" applyNumberFormat="1"/>
    <xf numFmtId="8" fontId="0" fillId="0" borderId="0" xfId="0" applyNumberFormat="1" applyFont="1"/>
    <xf numFmtId="0" fontId="0" fillId="0" borderId="0" xfId="0" applyNumberFormat="1"/>
    <xf numFmtId="14" fontId="0" fillId="0" borderId="0" xfId="0" applyNumberFormat="1"/>
    <xf numFmtId="0" fontId="0" fillId="0" borderId="1" xfId="0" applyBorder="1"/>
    <xf numFmtId="0" fontId="1" fillId="0" borderId="0" xfId="0" applyFont="1"/>
    <xf numFmtId="2" fontId="0" fillId="0" borderId="0" xfId="0" applyNumberFormat="1"/>
    <xf numFmtId="9" fontId="0" fillId="0" borderId="0" xfId="0" applyNumberFormat="1"/>
    <xf numFmtId="0" fontId="1" fillId="0" borderId="1" xfId="0" applyFont="1" applyBorder="1"/>
    <xf numFmtId="0" fontId="0" fillId="0" borderId="1" xfId="0" applyBorder="1" applyAlignment="1">
      <alignment horizontal="left"/>
    </xf>
    <xf numFmtId="15" fontId="0" fillId="0" borderId="1" xfId="0" applyNumberFormat="1" applyBorder="1" applyAlignment="1">
      <alignment horizontal="left"/>
    </xf>
    <xf numFmtId="2" fontId="0" fillId="0" borderId="1" xfId="0" applyNumberFormat="1" applyBorder="1" applyAlignment="1">
      <alignment horizontal="left"/>
    </xf>
    <xf numFmtId="0" fontId="1" fillId="0" borderId="0" xfId="0" applyFont="1" applyAlignment="1">
      <alignment horizontal="left"/>
    </xf>
    <xf numFmtId="164" fontId="0" fillId="0" borderId="1" xfId="0" applyNumberFormat="1" applyBorder="1" applyAlignment="1">
      <alignment horizontal="left"/>
    </xf>
    <xf numFmtId="164" fontId="0" fillId="0" borderId="0" xfId="0" applyNumberFormat="1"/>
    <xf numFmtId="0" fontId="0" fillId="0" borderId="0" xfId="0" applyAlignment="1"/>
    <xf numFmtId="0" fontId="3" fillId="0" borderId="0" xfId="0" applyFont="1"/>
    <xf numFmtId="0" fontId="4" fillId="0" borderId="0" xfId="0" applyFont="1"/>
    <xf numFmtId="0" fontId="3" fillId="8" borderId="0" xfId="0" applyFont="1" applyFill="1"/>
    <xf numFmtId="0" fontId="3" fillId="9" borderId="0" xfId="0" applyFont="1" applyFill="1"/>
    <xf numFmtId="0" fontId="4" fillId="10" borderId="0" xfId="0" applyFont="1" applyFill="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 fontId="0" fillId="0" borderId="0" xfId="0" applyNumberFormat="1"/>
    <xf numFmtId="0" fontId="0" fillId="0" borderId="0" xfId="0" applyAlignment="1">
      <alignment horizontal="left" indent="1"/>
    </xf>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7" fillId="15" borderId="0" xfId="0" applyFont="1" applyFill="1" applyAlignment="1">
      <alignment horizontal="center" vertical="center"/>
    </xf>
    <xf numFmtId="167" fontId="10" fillId="15" borderId="0" xfId="0" applyNumberFormat="1" applyFont="1" applyFill="1" applyAlignment="1">
      <alignment horizontal="center" vertical="center"/>
    </xf>
    <xf numFmtId="0" fontId="8" fillId="16" borderId="0" xfId="0" applyFont="1" applyFill="1" applyAlignment="1">
      <alignment horizontal="center" vertical="center"/>
    </xf>
    <xf numFmtId="9" fontId="9" fillId="16" borderId="0" xfId="0" applyNumberFormat="1" applyFont="1" applyFill="1" applyAlignment="1">
      <alignment horizontal="center" vertical="center"/>
    </xf>
    <xf numFmtId="167" fontId="11" fillId="16" borderId="0" xfId="0" applyNumberFormat="1" applyFont="1" applyFill="1" applyAlignment="1">
      <alignment horizontal="center" vertical="center"/>
    </xf>
    <xf numFmtId="9" fontId="6" fillId="15" borderId="0" xfId="0" applyNumberFormat="1" applyFont="1" applyFill="1" applyAlignment="1">
      <alignment horizontal="center" vertical="center"/>
    </xf>
    <xf numFmtId="0" fontId="14" fillId="0" borderId="0" xfId="0" applyFont="1"/>
    <xf numFmtId="0" fontId="13" fillId="0" borderId="0" xfId="0" applyFont="1" applyAlignment="1">
      <alignment horizontal="center" vertical="center"/>
    </xf>
    <xf numFmtId="0" fontId="2" fillId="3" borderId="0" xfId="0" applyFont="1" applyFill="1"/>
    <xf numFmtId="0" fontId="0" fillId="3" borderId="0" xfId="0" applyFill="1"/>
    <xf numFmtId="0" fontId="2" fillId="2" borderId="0" xfId="0" applyFont="1" applyFill="1"/>
    <xf numFmtId="0" fontId="0" fillId="2" borderId="0" xfId="0" applyFill="1"/>
    <xf numFmtId="0" fontId="0" fillId="4" borderId="1" xfId="0" applyFill="1" applyBorder="1" applyAlignment="1">
      <alignment horizontal="center"/>
    </xf>
    <xf numFmtId="0" fontId="0" fillId="5" borderId="0" xfId="0" applyFill="1" applyAlignment="1">
      <alignment horizontal="center"/>
    </xf>
    <xf numFmtId="0" fontId="0" fillId="6" borderId="2" xfId="0" applyNumberFormat="1" applyFont="1" applyFill="1" applyBorder="1" applyAlignment="1">
      <alignment horizontal="center"/>
    </xf>
    <xf numFmtId="0" fontId="0" fillId="6" borderId="0" xfId="0" applyNumberFormat="1" applyFont="1" applyFill="1" applyBorder="1" applyAlignment="1">
      <alignment horizontal="center"/>
    </xf>
    <xf numFmtId="0" fontId="3" fillId="7" borderId="0" xfId="0" applyFont="1" applyFill="1" applyAlignment="1">
      <alignment horizontal="center"/>
    </xf>
    <xf numFmtId="0" fontId="0" fillId="11" borderId="0" xfId="0" applyFill="1" applyAlignment="1">
      <alignment horizontal="center"/>
    </xf>
    <xf numFmtId="0" fontId="5" fillId="12" borderId="0" xfId="0" applyFont="1" applyFill="1" applyAlignment="1">
      <alignment horizontal="center"/>
    </xf>
    <xf numFmtId="0" fontId="2" fillId="4" borderId="0" xfId="0" applyFont="1" applyFill="1"/>
    <xf numFmtId="0" fontId="0" fillId="4" borderId="0" xfId="0" applyFill="1"/>
    <xf numFmtId="0" fontId="0" fillId="13" borderId="0" xfId="0" applyFill="1" applyAlignment="1">
      <alignment horizontal="center"/>
    </xf>
    <xf numFmtId="0" fontId="0" fillId="13" borderId="1" xfId="0" applyFill="1" applyBorder="1" applyAlignment="1">
      <alignment horizontal="center"/>
    </xf>
    <xf numFmtId="0" fontId="12" fillId="14" borderId="0" xfId="0" applyFont="1" applyFill="1" applyAlignment="1">
      <alignment horizontal="center" vertical="center"/>
    </xf>
    <xf numFmtId="0" fontId="14" fillId="0" borderId="0" xfId="0" applyFont="1" applyAlignment="1">
      <alignment horizontal="center" vertical="center"/>
    </xf>
  </cellXfs>
  <cellStyles count="1">
    <cellStyle name="Normal" xfId="0" builtinId="0"/>
  </cellStyles>
  <dxfs count="20">
    <dxf>
      <numFmt numFmtId="166" formatCode="[$$-409]#,##0"/>
    </dxf>
    <dxf>
      <numFmt numFmtId="166" formatCode="[$$-409]#,##0"/>
    </dxf>
    <dxf>
      <numFmt numFmtId="2" formatCode="0.00"/>
    </dxf>
    <dxf>
      <numFmt numFmtId="166" formatCode="[$$-409]#,##0"/>
    </dxf>
    <dxf>
      <numFmt numFmtId="19" formatCode="dd/mm/yyyy"/>
    </dxf>
    <dxf>
      <numFmt numFmtId="0" formatCode="General"/>
    </dxf>
    <dxf>
      <numFmt numFmtId="2" formatCode="0.00"/>
    </dxf>
    <dxf>
      <numFmt numFmtId="2" formatCode="0.00"/>
    </dxf>
    <dxf>
      <numFmt numFmtId="0" formatCode="General"/>
    </dxf>
    <dxf>
      <numFmt numFmtId="12" formatCode="&quot;₹&quot;\ #,##0.00;[Red]&quot;₹&quot;\ \-#,##0.00"/>
    </dxf>
    <dxf>
      <numFmt numFmtId="167" formatCode="[$$-409]#,##0_ ;[Red]\-[$$-409]#,##0\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d/mmm/yy"/>
    </dxf>
    <dxf>
      <numFmt numFmtId="12" formatCode="&quot;₹&quot;\ #,##0.00;[Red]&quot;₹&quot;\ \-#,##0.00"/>
    </dxf>
    <dxf>
      <font>
        <strike val="0"/>
        <outline val="0"/>
        <shadow val="0"/>
        <u val="none"/>
        <vertAlign val="baseline"/>
        <sz val="11"/>
        <color theme="1"/>
        <name val="Calibri"/>
        <scheme val="minor"/>
      </font>
      <numFmt numFmtId="12"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Salary VS Rating</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8.4283639769675775E-2"/>
          <c:y val="0.13584192439862544"/>
          <c:w val="0.861752903480133"/>
          <c:h val="0.71576183131747706"/>
        </c:manualLayout>
      </c:layout>
      <c:scatterChart>
        <c:scatterStyle val="lineMarker"/>
        <c:varyColors val="0"/>
        <c:ser>
          <c:idx val="0"/>
          <c:order val="0"/>
          <c:spPr>
            <a:ln w="25400" cap="rnd">
              <a:noFill/>
              <a:round/>
            </a:ln>
            <a:effectLst/>
          </c:spPr>
          <c:marker>
            <c:symbol val="diamond"/>
            <c:size val="6"/>
            <c:spPr>
              <a:solidFill>
                <a:schemeClr val="lt1"/>
              </a:solidFill>
              <a:ln w="15875">
                <a:solidFill>
                  <a:schemeClr val="accent1"/>
                </a:solidFill>
                <a:round/>
              </a:ln>
              <a:effectLst/>
            </c:spPr>
          </c:marker>
          <c:xVal>
            <c:numRef>
              <c:f>Combined_Data!$H$5:$H$187</c:f>
              <c:numCache>
                <c:formatCode>[$$-409]#,##0_ ;[Red]\-[$$-409]#,##0\ </c:formatCode>
                <c:ptCount val="183"/>
                <c:pt idx="0">
                  <c:v>33920</c:v>
                </c:pt>
                <c:pt idx="1">
                  <c:v>33920</c:v>
                </c:pt>
                <c:pt idx="2">
                  <c:v>34980</c:v>
                </c:pt>
                <c:pt idx="3">
                  <c:v>34980</c:v>
                </c:pt>
                <c:pt idx="4">
                  <c:v>36040</c:v>
                </c:pt>
                <c:pt idx="5">
                  <c:v>36040</c:v>
                </c:pt>
                <c:pt idx="6">
                  <c:v>37920</c:v>
                </c:pt>
                <c:pt idx="7">
                  <c:v>37920</c:v>
                </c:pt>
                <c:pt idx="8">
                  <c:v>40400</c:v>
                </c:pt>
                <c:pt idx="9">
                  <c:v>40400</c:v>
                </c:pt>
                <c:pt idx="10">
                  <c:v>41570</c:v>
                </c:pt>
                <c:pt idx="11">
                  <c:v>41570</c:v>
                </c:pt>
                <c:pt idx="12">
                  <c:v>41980</c:v>
                </c:pt>
                <c:pt idx="13">
                  <c:v>41980</c:v>
                </c:pt>
                <c:pt idx="14">
                  <c:v>43510</c:v>
                </c:pt>
                <c:pt idx="15">
                  <c:v>43510</c:v>
                </c:pt>
                <c:pt idx="16">
                  <c:v>43840</c:v>
                </c:pt>
                <c:pt idx="17">
                  <c:v>43840</c:v>
                </c:pt>
                <c:pt idx="18">
                  <c:v>45510</c:v>
                </c:pt>
                <c:pt idx="19">
                  <c:v>45510</c:v>
                </c:pt>
                <c:pt idx="20">
                  <c:v>47360</c:v>
                </c:pt>
                <c:pt idx="21">
                  <c:v>47360</c:v>
                </c:pt>
                <c:pt idx="22">
                  <c:v>48170</c:v>
                </c:pt>
                <c:pt idx="23">
                  <c:v>48170</c:v>
                </c:pt>
                <c:pt idx="24">
                  <c:v>48530</c:v>
                </c:pt>
                <c:pt idx="25">
                  <c:v>48530</c:v>
                </c:pt>
                <c:pt idx="26">
                  <c:v>48950</c:v>
                </c:pt>
                <c:pt idx="27">
                  <c:v>48950</c:v>
                </c:pt>
                <c:pt idx="28">
                  <c:v>48980</c:v>
                </c:pt>
                <c:pt idx="29">
                  <c:v>48980</c:v>
                </c:pt>
                <c:pt idx="30">
                  <c:v>49630</c:v>
                </c:pt>
                <c:pt idx="31">
                  <c:v>49630</c:v>
                </c:pt>
                <c:pt idx="32">
                  <c:v>52610</c:v>
                </c:pt>
                <c:pt idx="33">
                  <c:v>52610</c:v>
                </c:pt>
                <c:pt idx="34">
                  <c:v>53240</c:v>
                </c:pt>
                <c:pt idx="35">
                  <c:v>53240</c:v>
                </c:pt>
                <c:pt idx="36">
                  <c:v>53540</c:v>
                </c:pt>
                <c:pt idx="37">
                  <c:v>53540</c:v>
                </c:pt>
                <c:pt idx="38">
                  <c:v>53540</c:v>
                </c:pt>
                <c:pt idx="39">
                  <c:v>53540</c:v>
                </c:pt>
                <c:pt idx="40">
                  <c:v>53870</c:v>
                </c:pt>
                <c:pt idx="41">
                  <c:v>53870</c:v>
                </c:pt>
                <c:pt idx="42">
                  <c:v>54970</c:v>
                </c:pt>
                <c:pt idx="43">
                  <c:v>54970</c:v>
                </c:pt>
                <c:pt idx="44">
                  <c:v>56870</c:v>
                </c:pt>
                <c:pt idx="45">
                  <c:v>56870</c:v>
                </c:pt>
                <c:pt idx="46">
                  <c:v>57090</c:v>
                </c:pt>
                <c:pt idx="47">
                  <c:v>57090</c:v>
                </c:pt>
                <c:pt idx="48">
                  <c:v>58100</c:v>
                </c:pt>
                <c:pt idx="49">
                  <c:v>58100</c:v>
                </c:pt>
                <c:pt idx="50">
                  <c:v>58940</c:v>
                </c:pt>
                <c:pt idx="51">
                  <c:v>58940</c:v>
                </c:pt>
                <c:pt idx="52">
                  <c:v>58960</c:v>
                </c:pt>
                <c:pt idx="53">
                  <c:v>58960</c:v>
                </c:pt>
                <c:pt idx="54">
                  <c:v>59430</c:v>
                </c:pt>
                <c:pt idx="55">
                  <c:v>59430</c:v>
                </c:pt>
                <c:pt idx="56">
                  <c:v>60130</c:v>
                </c:pt>
                <c:pt idx="57">
                  <c:v>60130</c:v>
                </c:pt>
                <c:pt idx="58">
                  <c:v>60570</c:v>
                </c:pt>
                <c:pt idx="59">
                  <c:v>60570</c:v>
                </c:pt>
                <c:pt idx="60">
                  <c:v>62780</c:v>
                </c:pt>
                <c:pt idx="61">
                  <c:v>62780</c:v>
                </c:pt>
                <c:pt idx="62">
                  <c:v>64000</c:v>
                </c:pt>
                <c:pt idx="63">
                  <c:v>64000</c:v>
                </c:pt>
                <c:pt idx="64">
                  <c:v>65360</c:v>
                </c:pt>
                <c:pt idx="65">
                  <c:v>65360</c:v>
                </c:pt>
                <c:pt idx="66">
                  <c:v>65700</c:v>
                </c:pt>
                <c:pt idx="67">
                  <c:v>65700</c:v>
                </c:pt>
                <c:pt idx="68">
                  <c:v>65920</c:v>
                </c:pt>
                <c:pt idx="69">
                  <c:v>65920</c:v>
                </c:pt>
                <c:pt idx="70">
                  <c:v>67910</c:v>
                </c:pt>
                <c:pt idx="71">
                  <c:v>67910</c:v>
                </c:pt>
                <c:pt idx="72">
                  <c:v>67950</c:v>
                </c:pt>
                <c:pt idx="73">
                  <c:v>67950</c:v>
                </c:pt>
                <c:pt idx="74">
                  <c:v>68900</c:v>
                </c:pt>
                <c:pt idx="75">
                  <c:v>68900</c:v>
                </c:pt>
                <c:pt idx="76">
                  <c:v>69070</c:v>
                </c:pt>
                <c:pt idx="77">
                  <c:v>69070</c:v>
                </c:pt>
                <c:pt idx="78">
                  <c:v>69120</c:v>
                </c:pt>
                <c:pt idx="79">
                  <c:v>69120</c:v>
                </c:pt>
                <c:pt idx="80">
                  <c:v>69710</c:v>
                </c:pt>
                <c:pt idx="81">
                  <c:v>69710</c:v>
                </c:pt>
                <c:pt idx="82">
                  <c:v>70270</c:v>
                </c:pt>
                <c:pt idx="83">
                  <c:v>70270</c:v>
                </c:pt>
                <c:pt idx="84">
                  <c:v>70610</c:v>
                </c:pt>
                <c:pt idx="85">
                  <c:v>70610</c:v>
                </c:pt>
                <c:pt idx="86">
                  <c:v>71380</c:v>
                </c:pt>
                <c:pt idx="87">
                  <c:v>71380</c:v>
                </c:pt>
                <c:pt idx="88">
                  <c:v>74550</c:v>
                </c:pt>
                <c:pt idx="89">
                  <c:v>74550</c:v>
                </c:pt>
                <c:pt idx="90">
                  <c:v>75000</c:v>
                </c:pt>
                <c:pt idx="91">
                  <c:v>75000</c:v>
                </c:pt>
                <c:pt idx="92">
                  <c:v>75280</c:v>
                </c:pt>
                <c:pt idx="93">
                  <c:v>75280</c:v>
                </c:pt>
                <c:pt idx="94">
                  <c:v>75480</c:v>
                </c:pt>
                <c:pt idx="95">
                  <c:v>75480</c:v>
                </c:pt>
                <c:pt idx="96">
                  <c:v>75880</c:v>
                </c:pt>
                <c:pt idx="97">
                  <c:v>75880</c:v>
                </c:pt>
                <c:pt idx="98">
                  <c:v>75970</c:v>
                </c:pt>
                <c:pt idx="99">
                  <c:v>75970</c:v>
                </c:pt>
                <c:pt idx="100">
                  <c:v>76900</c:v>
                </c:pt>
                <c:pt idx="101">
                  <c:v>76900</c:v>
                </c:pt>
                <c:pt idx="102">
                  <c:v>78390</c:v>
                </c:pt>
                <c:pt idx="103">
                  <c:v>78390</c:v>
                </c:pt>
                <c:pt idx="104">
                  <c:v>78540</c:v>
                </c:pt>
                <c:pt idx="105">
                  <c:v>78540</c:v>
                </c:pt>
                <c:pt idx="106">
                  <c:v>79570</c:v>
                </c:pt>
                <c:pt idx="107">
                  <c:v>79570</c:v>
                </c:pt>
                <c:pt idx="108">
                  <c:v>80700</c:v>
                </c:pt>
                <c:pt idx="109">
                  <c:v>80700</c:v>
                </c:pt>
                <c:pt idx="110">
                  <c:v>83750</c:v>
                </c:pt>
                <c:pt idx="111">
                  <c:v>83750</c:v>
                </c:pt>
                <c:pt idx="112">
                  <c:v>85000</c:v>
                </c:pt>
                <c:pt idx="113">
                  <c:v>85000</c:v>
                </c:pt>
                <c:pt idx="114">
                  <c:v>86570</c:v>
                </c:pt>
                <c:pt idx="115">
                  <c:v>86570</c:v>
                </c:pt>
                <c:pt idx="116">
                  <c:v>87620</c:v>
                </c:pt>
                <c:pt idx="117">
                  <c:v>87620</c:v>
                </c:pt>
                <c:pt idx="118">
                  <c:v>88050</c:v>
                </c:pt>
                <c:pt idx="119">
                  <c:v>88050</c:v>
                </c:pt>
                <c:pt idx="120">
                  <c:v>90700</c:v>
                </c:pt>
                <c:pt idx="121">
                  <c:v>90700</c:v>
                </c:pt>
                <c:pt idx="122">
                  <c:v>91310</c:v>
                </c:pt>
                <c:pt idx="123">
                  <c:v>91310</c:v>
                </c:pt>
                <c:pt idx="124">
                  <c:v>91650</c:v>
                </c:pt>
                <c:pt idx="125">
                  <c:v>91650</c:v>
                </c:pt>
                <c:pt idx="126">
                  <c:v>92450</c:v>
                </c:pt>
                <c:pt idx="127">
                  <c:v>92450</c:v>
                </c:pt>
                <c:pt idx="128">
                  <c:v>92700</c:v>
                </c:pt>
                <c:pt idx="129">
                  <c:v>92700</c:v>
                </c:pt>
                <c:pt idx="130">
                  <c:v>96140</c:v>
                </c:pt>
                <c:pt idx="131">
                  <c:v>96140</c:v>
                </c:pt>
                <c:pt idx="132">
                  <c:v>96800</c:v>
                </c:pt>
                <c:pt idx="133">
                  <c:v>96800</c:v>
                </c:pt>
                <c:pt idx="134">
                  <c:v>99750</c:v>
                </c:pt>
                <c:pt idx="135">
                  <c:v>99750</c:v>
                </c:pt>
                <c:pt idx="136">
                  <c:v>99970</c:v>
                </c:pt>
                <c:pt idx="137">
                  <c:v>99970</c:v>
                </c:pt>
                <c:pt idx="138">
                  <c:v>100420</c:v>
                </c:pt>
                <c:pt idx="139">
                  <c:v>100420</c:v>
                </c:pt>
                <c:pt idx="140">
                  <c:v>103550</c:v>
                </c:pt>
                <c:pt idx="141">
                  <c:v>103550</c:v>
                </c:pt>
                <c:pt idx="142">
                  <c:v>104120</c:v>
                </c:pt>
                <c:pt idx="143">
                  <c:v>104120</c:v>
                </c:pt>
                <c:pt idx="144">
                  <c:v>104410</c:v>
                </c:pt>
                <c:pt idx="145">
                  <c:v>104410</c:v>
                </c:pt>
                <c:pt idx="146">
                  <c:v>104770</c:v>
                </c:pt>
                <c:pt idx="147">
                  <c:v>104770</c:v>
                </c:pt>
                <c:pt idx="148">
                  <c:v>106460</c:v>
                </c:pt>
                <c:pt idx="149">
                  <c:v>106460</c:v>
                </c:pt>
                <c:pt idx="150">
                  <c:v>107700</c:v>
                </c:pt>
                <c:pt idx="151">
                  <c:v>107700</c:v>
                </c:pt>
                <c:pt idx="152">
                  <c:v>109160</c:v>
                </c:pt>
                <c:pt idx="153">
                  <c:v>109160</c:v>
                </c:pt>
                <c:pt idx="154">
                  <c:v>109190</c:v>
                </c:pt>
                <c:pt idx="155">
                  <c:v>109190</c:v>
                </c:pt>
                <c:pt idx="156">
                  <c:v>112110</c:v>
                </c:pt>
                <c:pt idx="157">
                  <c:v>112110</c:v>
                </c:pt>
                <c:pt idx="158">
                  <c:v>112570</c:v>
                </c:pt>
                <c:pt idx="159">
                  <c:v>112570</c:v>
                </c:pt>
                <c:pt idx="160">
                  <c:v>112650</c:v>
                </c:pt>
                <c:pt idx="161">
                  <c:v>112650</c:v>
                </c:pt>
                <c:pt idx="162">
                  <c:v>112650</c:v>
                </c:pt>
                <c:pt idx="163">
                  <c:v>112780</c:v>
                </c:pt>
                <c:pt idx="164">
                  <c:v>112780</c:v>
                </c:pt>
                <c:pt idx="165">
                  <c:v>113280</c:v>
                </c:pt>
                <c:pt idx="166">
                  <c:v>113280</c:v>
                </c:pt>
                <c:pt idx="167">
                  <c:v>114180</c:v>
                </c:pt>
                <c:pt idx="168">
                  <c:v>114180</c:v>
                </c:pt>
                <c:pt idx="169">
                  <c:v>114870</c:v>
                </c:pt>
                <c:pt idx="170">
                  <c:v>114870</c:v>
                </c:pt>
                <c:pt idx="171">
                  <c:v>114890</c:v>
                </c:pt>
                <c:pt idx="172">
                  <c:v>114890</c:v>
                </c:pt>
                <c:pt idx="173">
                  <c:v>115440</c:v>
                </c:pt>
                <c:pt idx="174">
                  <c:v>115440</c:v>
                </c:pt>
                <c:pt idx="175">
                  <c:v>115920</c:v>
                </c:pt>
                <c:pt idx="176">
                  <c:v>115920</c:v>
                </c:pt>
                <c:pt idx="177">
                  <c:v>118100</c:v>
                </c:pt>
                <c:pt idx="178">
                  <c:v>118100</c:v>
                </c:pt>
                <c:pt idx="179">
                  <c:v>118840</c:v>
                </c:pt>
                <c:pt idx="180">
                  <c:v>118840</c:v>
                </c:pt>
                <c:pt idx="181">
                  <c:v>119110</c:v>
                </c:pt>
                <c:pt idx="182">
                  <c:v>119110</c:v>
                </c:pt>
              </c:numCache>
            </c:numRef>
          </c:xVal>
          <c:yVal>
            <c:numRef>
              <c:f>Combined_Data!$K$5:$K$187</c:f>
              <c:numCache>
                <c:formatCode>General</c:formatCode>
                <c:ptCount val="18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1</c:v>
                </c:pt>
                <c:pt idx="15">
                  <c:v>1</c:v>
                </c:pt>
                <c:pt idx="16">
                  <c:v>4</c:v>
                </c:pt>
                <c:pt idx="17">
                  <c:v>4</c:v>
                </c:pt>
                <c:pt idx="18">
                  <c:v>3</c:v>
                </c:pt>
                <c:pt idx="19">
                  <c:v>3</c:v>
                </c:pt>
                <c:pt idx="20">
                  <c:v>3</c:v>
                </c:pt>
                <c:pt idx="21">
                  <c:v>3</c:v>
                </c:pt>
                <c:pt idx="22">
                  <c:v>4</c:v>
                </c:pt>
                <c:pt idx="23">
                  <c:v>4</c:v>
                </c:pt>
                <c:pt idx="24">
                  <c:v>4</c:v>
                </c:pt>
                <c:pt idx="25">
                  <c:v>4</c:v>
                </c:pt>
                <c:pt idx="26">
                  <c:v>3</c:v>
                </c:pt>
                <c:pt idx="27">
                  <c:v>3</c:v>
                </c:pt>
                <c:pt idx="28">
                  <c:v>3</c:v>
                </c:pt>
                <c:pt idx="29">
                  <c:v>3</c:v>
                </c:pt>
                <c:pt idx="30">
                  <c:v>2</c:v>
                </c:pt>
                <c:pt idx="31">
                  <c:v>2</c:v>
                </c:pt>
                <c:pt idx="32">
                  <c:v>2</c:v>
                </c:pt>
                <c:pt idx="33">
                  <c:v>2</c:v>
                </c:pt>
                <c:pt idx="34">
                  <c:v>3</c:v>
                </c:pt>
                <c:pt idx="35">
                  <c:v>3</c:v>
                </c:pt>
                <c:pt idx="36">
                  <c:v>3</c:v>
                </c:pt>
                <c:pt idx="37">
                  <c:v>3</c:v>
                </c:pt>
                <c:pt idx="38">
                  <c:v>3</c:v>
                </c:pt>
                <c:pt idx="39">
                  <c:v>3</c:v>
                </c:pt>
                <c:pt idx="40">
                  <c:v>3</c:v>
                </c:pt>
                <c:pt idx="41">
                  <c:v>3</c:v>
                </c:pt>
                <c:pt idx="42">
                  <c:v>3</c:v>
                </c:pt>
                <c:pt idx="43">
                  <c:v>3</c:v>
                </c:pt>
                <c:pt idx="44">
                  <c:v>4</c:v>
                </c:pt>
                <c:pt idx="45">
                  <c:v>4</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2</c:v>
                </c:pt>
                <c:pt idx="71">
                  <c:v>2</c:v>
                </c:pt>
                <c:pt idx="72">
                  <c:v>3</c:v>
                </c:pt>
                <c:pt idx="73">
                  <c:v>3</c:v>
                </c:pt>
                <c:pt idx="74">
                  <c:v>2</c:v>
                </c:pt>
                <c:pt idx="75">
                  <c:v>2</c:v>
                </c:pt>
                <c:pt idx="76">
                  <c:v>3</c:v>
                </c:pt>
                <c:pt idx="77">
                  <c:v>3</c:v>
                </c:pt>
                <c:pt idx="78">
                  <c:v>3</c:v>
                </c:pt>
                <c:pt idx="79">
                  <c:v>3</c:v>
                </c:pt>
                <c:pt idx="80">
                  <c:v>3</c:v>
                </c:pt>
                <c:pt idx="81">
                  <c:v>3</c:v>
                </c:pt>
                <c:pt idx="82">
                  <c:v>2</c:v>
                </c:pt>
                <c:pt idx="83">
                  <c:v>2</c:v>
                </c:pt>
                <c:pt idx="84">
                  <c:v>3</c:v>
                </c:pt>
                <c:pt idx="85">
                  <c:v>3</c:v>
                </c:pt>
                <c:pt idx="86">
                  <c:v>3</c:v>
                </c:pt>
                <c:pt idx="87">
                  <c:v>3</c:v>
                </c:pt>
                <c:pt idx="88">
                  <c:v>3</c:v>
                </c:pt>
                <c:pt idx="89">
                  <c:v>3</c:v>
                </c:pt>
                <c:pt idx="90">
                  <c:v>5</c:v>
                </c:pt>
                <c:pt idx="91">
                  <c:v>5</c:v>
                </c:pt>
                <c:pt idx="92">
                  <c:v>3</c:v>
                </c:pt>
                <c:pt idx="93">
                  <c:v>3</c:v>
                </c:pt>
                <c:pt idx="94">
                  <c:v>1</c:v>
                </c:pt>
                <c:pt idx="95">
                  <c:v>1</c:v>
                </c:pt>
                <c:pt idx="96">
                  <c:v>3</c:v>
                </c:pt>
                <c:pt idx="97">
                  <c:v>3</c:v>
                </c:pt>
                <c:pt idx="98">
                  <c:v>3</c:v>
                </c:pt>
                <c:pt idx="99">
                  <c:v>3</c:v>
                </c:pt>
                <c:pt idx="100">
                  <c:v>4</c:v>
                </c:pt>
                <c:pt idx="101">
                  <c:v>4</c:v>
                </c:pt>
                <c:pt idx="102">
                  <c:v>3</c:v>
                </c:pt>
                <c:pt idx="103">
                  <c:v>3</c:v>
                </c:pt>
                <c:pt idx="104">
                  <c:v>3</c:v>
                </c:pt>
                <c:pt idx="105">
                  <c:v>3</c:v>
                </c:pt>
                <c:pt idx="106">
                  <c:v>3</c:v>
                </c:pt>
                <c:pt idx="107">
                  <c:v>3</c:v>
                </c:pt>
                <c:pt idx="108">
                  <c:v>4</c:v>
                </c:pt>
                <c:pt idx="109">
                  <c:v>4</c:v>
                </c:pt>
                <c:pt idx="110">
                  <c:v>3</c:v>
                </c:pt>
                <c:pt idx="111">
                  <c:v>3</c:v>
                </c:pt>
                <c:pt idx="112">
                  <c:v>3</c:v>
                </c:pt>
                <c:pt idx="113">
                  <c:v>3</c:v>
                </c:pt>
                <c:pt idx="114">
                  <c:v>3</c:v>
                </c:pt>
                <c:pt idx="115">
                  <c:v>3</c:v>
                </c:pt>
                <c:pt idx="116">
                  <c:v>3</c:v>
                </c:pt>
                <c:pt idx="117">
                  <c:v>3</c:v>
                </c:pt>
                <c:pt idx="118">
                  <c:v>2</c:v>
                </c:pt>
                <c:pt idx="119">
                  <c:v>2</c:v>
                </c:pt>
                <c:pt idx="120">
                  <c:v>4</c:v>
                </c:pt>
                <c:pt idx="121">
                  <c:v>4</c:v>
                </c:pt>
                <c:pt idx="122">
                  <c:v>3</c:v>
                </c:pt>
                <c:pt idx="123">
                  <c:v>3</c:v>
                </c:pt>
                <c:pt idx="124">
                  <c:v>4</c:v>
                </c:pt>
                <c:pt idx="125">
                  <c:v>4</c:v>
                </c:pt>
                <c:pt idx="126">
                  <c:v>3</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5</c:v>
                </c:pt>
                <c:pt idx="153">
                  <c:v>5</c:v>
                </c:pt>
                <c:pt idx="154">
                  <c:v>4</c:v>
                </c:pt>
                <c:pt idx="155">
                  <c:v>4</c:v>
                </c:pt>
                <c:pt idx="156">
                  <c:v>2</c:v>
                </c:pt>
                <c:pt idx="157">
                  <c:v>2</c:v>
                </c:pt>
                <c:pt idx="158">
                  <c:v>3</c:v>
                </c:pt>
                <c:pt idx="159">
                  <c:v>3</c:v>
                </c:pt>
                <c:pt idx="160">
                  <c:v>3</c:v>
                </c:pt>
                <c:pt idx="161">
                  <c:v>3</c:v>
                </c:pt>
                <c:pt idx="162">
                  <c:v>3</c:v>
                </c:pt>
                <c:pt idx="163">
                  <c:v>4</c:v>
                </c:pt>
                <c:pt idx="164">
                  <c:v>4</c:v>
                </c:pt>
                <c:pt idx="165">
                  <c:v>1</c:v>
                </c:pt>
                <c:pt idx="166">
                  <c:v>1</c:v>
                </c:pt>
                <c:pt idx="167">
                  <c:v>3</c:v>
                </c:pt>
                <c:pt idx="168">
                  <c:v>3</c:v>
                </c:pt>
                <c:pt idx="169">
                  <c:v>3</c:v>
                </c:pt>
                <c:pt idx="170">
                  <c:v>3</c:v>
                </c:pt>
                <c:pt idx="171">
                  <c:v>3</c:v>
                </c:pt>
                <c:pt idx="172">
                  <c:v>3</c:v>
                </c:pt>
                <c:pt idx="173">
                  <c:v>2</c:v>
                </c:pt>
                <c:pt idx="174">
                  <c:v>2</c:v>
                </c:pt>
                <c:pt idx="175">
                  <c:v>3</c:v>
                </c:pt>
                <c:pt idx="176">
                  <c:v>3</c:v>
                </c:pt>
                <c:pt idx="177">
                  <c:v>3</c:v>
                </c:pt>
                <c:pt idx="178">
                  <c:v>3</c:v>
                </c:pt>
                <c:pt idx="179">
                  <c:v>3</c:v>
                </c:pt>
                <c:pt idx="180">
                  <c:v>3</c:v>
                </c:pt>
                <c:pt idx="181">
                  <c:v>3</c:v>
                </c:pt>
                <c:pt idx="182">
                  <c:v>3</c:v>
                </c:pt>
              </c:numCache>
            </c:numRef>
          </c:yVal>
          <c:smooth val="0"/>
          <c:extLst>
            <c:ext xmlns:c16="http://schemas.microsoft.com/office/drawing/2014/chart" uri="{C3380CC4-5D6E-409C-BE32-E72D297353CC}">
              <c16:uniqueId val="{00000000-4E7F-41C1-AD2F-80EDED552A06}"/>
            </c:ext>
          </c:extLst>
        </c:ser>
        <c:dLbls>
          <c:showLegendKey val="0"/>
          <c:showVal val="0"/>
          <c:showCatName val="0"/>
          <c:showSerName val="0"/>
          <c:showPercent val="0"/>
          <c:showBubbleSize val="0"/>
        </c:dLbls>
        <c:axId val="1649291183"/>
        <c:axId val="1649288687"/>
      </c:scatterChart>
      <c:valAx>
        <c:axId val="164929118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Salary</a:t>
                </a:r>
              </a:p>
            </c:rich>
          </c:tx>
          <c:layout/>
          <c:overlay val="0"/>
          <c:spPr>
            <a:noFill/>
            <a:ln>
              <a:solidFill>
                <a:schemeClr val="bg1"/>
              </a:solid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409]#,##0_ ;[Red]\-[$$-409]#,##0\ "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49288687"/>
        <c:crosses val="autoZero"/>
        <c:crossBetween val="midCat"/>
      </c:valAx>
      <c:valAx>
        <c:axId val="164928868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Rating</a:t>
                </a:r>
              </a:p>
            </c:rich>
          </c:tx>
          <c:layout/>
          <c:overlay val="0"/>
          <c:spPr>
            <a:noFill/>
            <a:ln>
              <a:solidFill>
                <a:schemeClr val="bg1"/>
              </a:solid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49291183"/>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&amp; Visualization-1.xlsx]3rd Chart!PivotTable2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Company Growth</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'3rd Chart'!$B$3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multiLvlStrRef>
              <c:f>'3rd Chart'!$A$4:$A$40</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'3rd Chart'!$B$4:$B$40</c:f>
              <c:numCache>
                <c:formatCode>General</c:formatCode>
                <c:ptCount val="32"/>
                <c:pt idx="0">
                  <c:v>3</c:v>
                </c:pt>
                <c:pt idx="1">
                  <c:v>4</c:v>
                </c:pt>
                <c:pt idx="2">
                  <c:v>9</c:v>
                </c:pt>
                <c:pt idx="3">
                  <c:v>12</c:v>
                </c:pt>
                <c:pt idx="4">
                  <c:v>18</c:v>
                </c:pt>
                <c:pt idx="5">
                  <c:v>24</c:v>
                </c:pt>
                <c:pt idx="6">
                  <c:v>30</c:v>
                </c:pt>
                <c:pt idx="7">
                  <c:v>37</c:v>
                </c:pt>
                <c:pt idx="8">
                  <c:v>6</c:v>
                </c:pt>
                <c:pt idx="9">
                  <c:v>10</c:v>
                </c:pt>
                <c:pt idx="10">
                  <c:v>19</c:v>
                </c:pt>
                <c:pt idx="11">
                  <c:v>24</c:v>
                </c:pt>
                <c:pt idx="12">
                  <c:v>34</c:v>
                </c:pt>
                <c:pt idx="13">
                  <c:v>40</c:v>
                </c:pt>
                <c:pt idx="14">
                  <c:v>53</c:v>
                </c:pt>
                <c:pt idx="15">
                  <c:v>57</c:v>
                </c:pt>
                <c:pt idx="16">
                  <c:v>68</c:v>
                </c:pt>
                <c:pt idx="17">
                  <c:v>71</c:v>
                </c:pt>
                <c:pt idx="18">
                  <c:v>75</c:v>
                </c:pt>
                <c:pt idx="19">
                  <c:v>82</c:v>
                </c:pt>
                <c:pt idx="20">
                  <c:v>3</c:v>
                </c:pt>
                <c:pt idx="21">
                  <c:v>13</c:v>
                </c:pt>
                <c:pt idx="22">
                  <c:v>22</c:v>
                </c:pt>
                <c:pt idx="23">
                  <c:v>31</c:v>
                </c:pt>
                <c:pt idx="24">
                  <c:v>40</c:v>
                </c:pt>
                <c:pt idx="25">
                  <c:v>47</c:v>
                </c:pt>
                <c:pt idx="26">
                  <c:v>52</c:v>
                </c:pt>
                <c:pt idx="27">
                  <c:v>57</c:v>
                </c:pt>
                <c:pt idx="28">
                  <c:v>59</c:v>
                </c:pt>
                <c:pt idx="29">
                  <c:v>62</c:v>
                </c:pt>
                <c:pt idx="30">
                  <c:v>1</c:v>
                </c:pt>
                <c:pt idx="31">
                  <c:v>2</c:v>
                </c:pt>
              </c:numCache>
            </c:numRef>
          </c:val>
          <c:smooth val="0"/>
          <c:extLst>
            <c:ext xmlns:c16="http://schemas.microsoft.com/office/drawing/2014/chart" uri="{C3380CC4-5D6E-409C-BE32-E72D297353CC}">
              <c16:uniqueId val="{00000000-3B75-42A3-99F2-97959F193BD1}"/>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09451983"/>
        <c:axId val="109437839"/>
      </c:lineChart>
      <c:catAx>
        <c:axId val="1094519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437839"/>
        <c:crosses val="autoZero"/>
        <c:auto val="1"/>
        <c:lblAlgn val="ctr"/>
        <c:lblOffset val="100"/>
        <c:noMultiLvlLbl val="0"/>
      </c:catAx>
      <c:valAx>
        <c:axId val="109437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945198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&amp; Visualization-1.xlsx]Pivots!PivotTable3</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Pivots!$A$4:$A$9</c:f>
              <c:strCache>
                <c:ptCount val="5"/>
                <c:pt idx="0">
                  <c:v>Procurement</c:v>
                </c:pt>
                <c:pt idx="1">
                  <c:v>Website</c:v>
                </c:pt>
                <c:pt idx="2">
                  <c:v>Finance</c:v>
                </c:pt>
                <c:pt idx="3">
                  <c:v>Sales</c:v>
                </c:pt>
                <c:pt idx="4">
                  <c:v>HR</c:v>
                </c:pt>
              </c:strCache>
            </c:strRef>
          </c:cat>
          <c:val>
            <c:numRef>
              <c:f>Pivots!$B$4:$B$9</c:f>
              <c:numCache>
                <c:formatCode>General</c:formatCode>
                <c:ptCount val="5"/>
                <c:pt idx="0">
                  <c:v>28</c:v>
                </c:pt>
                <c:pt idx="1">
                  <c:v>27</c:v>
                </c:pt>
                <c:pt idx="2">
                  <c:v>19</c:v>
                </c:pt>
                <c:pt idx="3">
                  <c:v>14</c:v>
                </c:pt>
                <c:pt idx="4">
                  <c:v>4</c:v>
                </c:pt>
              </c:numCache>
            </c:numRef>
          </c:val>
          <c:extLst>
            <c:ext xmlns:c16="http://schemas.microsoft.com/office/drawing/2014/chart" uri="{C3380CC4-5D6E-409C-BE32-E72D297353CC}">
              <c16:uniqueId val="{00000000-A0B5-4EFE-99D8-D4034D444FDD}"/>
            </c:ext>
          </c:extLst>
        </c:ser>
        <c:dLbls>
          <c:showLegendKey val="0"/>
          <c:showVal val="0"/>
          <c:showCatName val="0"/>
          <c:showSerName val="0"/>
          <c:showPercent val="0"/>
          <c:showBubbleSize val="0"/>
        </c:dLbls>
        <c:gapWidth val="50"/>
        <c:axId val="107185679"/>
        <c:axId val="107182767"/>
      </c:barChart>
      <c:catAx>
        <c:axId val="107185679"/>
        <c:scaling>
          <c:orientation val="maxMin"/>
        </c:scaling>
        <c:delete val="0"/>
        <c:axPos val="l"/>
        <c:numFmt formatCode="General" sourceLinked="1"/>
        <c:majorTickMark val="none"/>
        <c:minorTickMark val="none"/>
        <c:tickLblPos val="nextTo"/>
        <c:spPr>
          <a:noFill/>
          <a:ln w="9525" cap="flat" cmpd="sng" algn="ctr">
            <a:solidFill>
              <a:schemeClr val="bg1">
                <a:alpha val="98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2767"/>
        <c:crosses val="autoZero"/>
        <c:auto val="1"/>
        <c:lblAlgn val="ctr"/>
        <c:lblOffset val="100"/>
        <c:noMultiLvlLbl val="0"/>
      </c:catAx>
      <c:valAx>
        <c:axId val="10718276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5679"/>
        <c:crosses val="autoZero"/>
        <c:crossBetween val="between"/>
      </c:valAx>
      <c:spPr>
        <a:noFill/>
        <a:ln>
          <a:noFill/>
        </a:ln>
        <a:effectLst>
          <a:glow rad="12700">
            <a:schemeClr val="accent1">
              <a:alpha val="40000"/>
            </a:schemeClr>
          </a:glo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&amp; Visualization-1.xlsx]Pivots!PivotTable4</c:name>
    <c:fmtId val="7"/>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Pivots!$G$4:$G$9</c:f>
              <c:strCache>
                <c:ptCount val="5"/>
                <c:pt idx="0">
                  <c:v>Website</c:v>
                </c:pt>
                <c:pt idx="1">
                  <c:v>Procurement</c:v>
                </c:pt>
                <c:pt idx="2">
                  <c:v>Finance</c:v>
                </c:pt>
                <c:pt idx="3">
                  <c:v>Sales</c:v>
                </c:pt>
                <c:pt idx="4">
                  <c:v>HR</c:v>
                </c:pt>
              </c:strCache>
            </c:strRef>
          </c:cat>
          <c:val>
            <c:numRef>
              <c:f>Pivots!$H$4:$H$9</c:f>
              <c:numCache>
                <c:formatCode>General</c:formatCode>
                <c:ptCount val="5"/>
                <c:pt idx="0">
                  <c:v>27</c:v>
                </c:pt>
                <c:pt idx="1">
                  <c:v>27</c:v>
                </c:pt>
                <c:pt idx="2">
                  <c:v>19</c:v>
                </c:pt>
                <c:pt idx="3">
                  <c:v>14</c:v>
                </c:pt>
                <c:pt idx="4">
                  <c:v>4</c:v>
                </c:pt>
              </c:numCache>
            </c:numRef>
          </c:val>
          <c:extLst>
            <c:ext xmlns:c16="http://schemas.microsoft.com/office/drawing/2014/chart" uri="{C3380CC4-5D6E-409C-BE32-E72D297353CC}">
              <c16:uniqueId val="{00000000-732A-46B6-9F33-27009D79C969}"/>
            </c:ext>
          </c:extLst>
        </c:ser>
        <c:dLbls>
          <c:showLegendKey val="0"/>
          <c:showVal val="0"/>
          <c:showCatName val="0"/>
          <c:showSerName val="0"/>
          <c:showPercent val="0"/>
          <c:showBubbleSize val="0"/>
        </c:dLbls>
        <c:gapWidth val="50"/>
        <c:axId val="154771679"/>
        <c:axId val="107184015"/>
      </c:barChart>
      <c:catAx>
        <c:axId val="154771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4015"/>
        <c:crosses val="autoZero"/>
        <c:auto val="1"/>
        <c:lblAlgn val="ctr"/>
        <c:lblOffset val="100"/>
        <c:noMultiLvlLbl val="0"/>
      </c:catAx>
      <c:valAx>
        <c:axId val="10718401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71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wrap="square" lIns="0" tIns="0" rIns="0" bIns="0" anchor="ctr" anchorCtr="1"/>
          <a:lstStyle/>
          <a:p>
            <a:pPr algn="ctr">
              <a:defRPr/>
            </a:pPr>
            <a:r>
              <a:rPr lang="en-US" b="1"/>
              <a:t>Salary Spread -By $10K</a:t>
            </a:r>
          </a:p>
        </cx:rich>
      </cx:tx>
    </cx:title>
    <cx:plotArea>
      <cx:plotAreaRegion>
        <cx:series layoutId="clusteredColumn" uniqueId="{5F7D4DA1-5EF4-4D9C-B0C0-9B0B44A3CE2A}">
          <cx:spPr>
            <a:solidFill>
              <a:schemeClr val="accent5">
                <a:lumMod val="75000"/>
              </a:schemeClr>
            </a:solidFill>
            <a:ln w="6350">
              <a:solidFill>
                <a:schemeClr val="tx1">
                  <a:lumMod val="75000"/>
                  <a:lumOff val="25000"/>
                </a:schemeClr>
              </a:solidFill>
            </a:ln>
            <a:effectLst>
              <a:outerShdw blurRad="50800" dist="38100" dir="2700000" algn="tl" rotWithShape="0">
                <a:prstClr val="black">
                  <a:alpha val="40000"/>
                </a:prstClr>
              </a:outerShdw>
            </a:effectLst>
          </cx:spPr>
          <cx:dataId val="0"/>
          <cx:layoutPr>
            <cx:binning intervalClosed="r" underflow="40000">
              <cx:binSize val="10000"/>
            </cx:binning>
          </cx:layoutPr>
        </cx:series>
      </cx:plotAreaRegion>
      <cx:axis id="0">
        <cx:catScaling gapWidth="0.10000000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175261</xdr:rowOff>
    </xdr:from>
    <xdr:to>
      <xdr:col>1</xdr:col>
      <xdr:colOff>731520</xdr:colOff>
      <xdr:row>14</xdr:row>
      <xdr:rowOff>152401</xdr:rowOff>
    </xdr:to>
    <mc:AlternateContent xmlns:mc="http://schemas.openxmlformats.org/markup-compatibility/2006" xmlns:a14="http://schemas.microsoft.com/office/drawing/2010/main">
      <mc:Choice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163830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213361</xdr:colOff>
      <xdr:row>11</xdr:row>
      <xdr:rowOff>7620</xdr:rowOff>
    </xdr:from>
    <xdr:to>
      <xdr:col>16</xdr:col>
      <xdr:colOff>495301</xdr:colOff>
      <xdr:row>31</xdr:row>
      <xdr:rowOff>160020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7</xdr:row>
      <xdr:rowOff>167640</xdr:rowOff>
    </xdr:from>
    <xdr:to>
      <xdr:col>15</xdr:col>
      <xdr:colOff>533400</xdr:colOff>
      <xdr:row>28</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396240</xdr:colOff>
      <xdr:row>7</xdr:row>
      <xdr:rowOff>41910</xdr:rowOff>
    </xdr:from>
    <xdr:to>
      <xdr:col>15</xdr:col>
      <xdr:colOff>312420</xdr:colOff>
      <xdr:row>22</xdr:row>
      <xdr:rowOff>41910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579120</xdr:colOff>
      <xdr:row>7</xdr:row>
      <xdr:rowOff>0</xdr:rowOff>
    </xdr:from>
    <xdr:to>
      <xdr:col>7</xdr:col>
      <xdr:colOff>7620</xdr:colOff>
      <xdr:row>25</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7</xdr:row>
      <xdr:rowOff>0</xdr:rowOff>
    </xdr:from>
    <xdr:to>
      <xdr:col>14</xdr:col>
      <xdr:colOff>7620</xdr:colOff>
      <xdr:row>24</xdr:row>
      <xdr:rowOff>167640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53340</xdr:colOff>
      <xdr:row>1</xdr:row>
      <xdr:rowOff>60960</xdr:rowOff>
    </xdr:from>
    <xdr:to>
      <xdr:col>8</xdr:col>
      <xdr:colOff>60960</xdr:colOff>
      <xdr:row>24</xdr:row>
      <xdr:rowOff>114300</xdr:rowOff>
    </xdr:to>
    <xdr:cxnSp macro="">
      <xdr:nvCxnSpPr>
        <xdr:cNvPr id="8" name="Straight Connector 7"/>
        <xdr:cNvCxnSpPr/>
      </xdr:nvCxnSpPr>
      <xdr:spPr>
        <a:xfrm>
          <a:off x="5951220" y="243840"/>
          <a:ext cx="7620" cy="5852160"/>
        </a:xfrm>
        <a:prstGeom prst="line">
          <a:avLst/>
        </a:prstGeom>
        <a:ln w="3175">
          <a:solidFill>
            <a:schemeClr val="bg2">
              <a:lumMod val="90000"/>
            </a:schemeClr>
          </a:solidFill>
          <a:prstDash val="dashDot"/>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vi teja" refreshedDate="46049.566803125002" createdVersion="6" refreshedVersion="6" minRefreshableVersion="3" recordCount="183">
  <cacheSource type="worksheet">
    <worksheetSource name="Combined_table"/>
  </cacheSource>
  <cacheFields count="9">
    <cacheField name="Name" numFmtId="0">
      <sharedItems/>
    </cacheField>
    <cacheField name="Gender" numFmtId="0">
      <sharedItems count="3">
        <s v="Male"/>
        <s v="Female"/>
        <s v="Other"/>
      </sharedItems>
    </cacheField>
    <cacheField name="Age" numFmtId="0">
      <sharedItems containsSemiMixedTypes="0" containsString="0" containsNumber="1" containsInteger="1" minValue="19" maxValue="46"/>
    </cacheField>
    <cacheField name="Rating" numFmtId="0">
      <sharedItems count="5">
        <s v="Average"/>
        <s v="Above average"/>
        <s v="Poor"/>
        <s v="Exceptional"/>
        <s v="Very poor"/>
      </sharedItems>
    </cacheField>
    <cacheField name="Date Joined" numFmtId="14">
      <sharedItems containsSemiMixedTypes="0" containsNonDate="0" containsDate="1" containsString="0" minDate="2020-05-07T00:00:00" maxDate="2023-04-30T00:00:00" count="160">
        <d v="2020-10-18T00:00:00"/>
        <d v="2021-04-07T00:00:00"/>
        <d v="2022-04-12T00:00:00"/>
        <d v="2021-05-23T00:00:00"/>
        <d v="2020-09-11T00:00:00"/>
        <d v="2021-03-13T00:00:00"/>
        <d v="2020-11-09T00:00:00"/>
        <d v="2022-06-01T00:00:00"/>
        <d v="2021-05-08T00:00:00"/>
        <d v="2022-04-14T00:00:00"/>
        <d v="2021-05-04T00:00:00"/>
        <d v="2021-12-14T00:00:00"/>
        <d v="2020-05-29T00:00:00"/>
        <d v="2020-07-30T00:00:00"/>
        <d v="2022-03-22T00:00:00"/>
        <d v="2022-04-09T00:00:00"/>
        <d v="2020-05-07T00:00:00"/>
        <d v="2022-08-16T00:00:00"/>
        <d v="2022-05-02T00:00:00"/>
        <d v="2021-07-11T00:00:00"/>
        <d v="2020-08-30T00:00:00"/>
        <d v="2021-03-22T00:00:00"/>
        <d v="2021-12-28T00:00:00"/>
        <d v="2022-06-06T00:00:00"/>
        <d v="2022-04-15T00:00:00"/>
        <d v="2022-03-05T00:00:00"/>
        <d v="2022-02-12T00:00:00"/>
        <d v="2023-02-28T00:00:00"/>
        <d v="2021-12-19T00:00:00"/>
        <d v="2022-08-27T00:00:00"/>
        <d v="2020-11-29T00:00:00"/>
        <d v="2021-03-01T00:00:00"/>
        <d v="2022-01-10T00:00:00"/>
        <d v="2022-03-13T00:00:00"/>
        <d v="2021-06-28T00:00:00"/>
        <d v="2020-10-15T00:00:00"/>
        <d v="2020-08-18T00:00:00"/>
        <d v="2021-07-07T00:00:00"/>
        <d v="2020-07-11T00:00:00"/>
        <d v="2021-11-06T00:00:00"/>
        <d v="2020-12-15T00:00:00"/>
        <d v="2021-04-10T00:00:00"/>
        <d v="2021-07-20T00:00:00"/>
        <d v="2022-02-27T00:00:00"/>
        <d v="2021-02-26T00:00:00"/>
        <d v="2022-02-02T00:00:00"/>
        <d v="2021-08-17T00:00:00"/>
        <d v="2022-05-20T00:00:00"/>
        <d v="2020-12-09T00:00:00"/>
        <d v="2022-04-19T00:00:00"/>
        <d v="2020-10-20T00:00:00"/>
        <d v="2021-01-16T00:00:00"/>
        <d v="2022-02-15T00:00:00"/>
        <d v="2020-09-29T00:00:00"/>
        <d v="2020-06-24T00:00:00"/>
        <d v="2021-12-05T00:00:00"/>
        <d v="2021-07-06T00:00:00"/>
        <d v="2021-09-11T00:00:00"/>
        <d v="2021-03-21T00:00:00"/>
        <d v="2021-10-07T00:00:00"/>
        <d v="2021-07-26T00:00:00"/>
        <d v="2022-07-16T00:00:00"/>
        <d v="2021-04-30T00:00:00"/>
        <d v="2021-01-08T00:00:00"/>
        <d v="2020-09-10T00:00:00"/>
        <d v="2021-03-17T00:00:00"/>
        <d v="2021-12-17T00:00:00"/>
        <d v="2022-07-05T00:00:00"/>
        <d v="2021-06-03T00:00:00"/>
        <d v="2022-03-20T00:00:00"/>
        <d v="2021-05-12T00:00:00"/>
        <d v="2021-01-18T00:00:00"/>
        <d v="2021-12-20T00:00:00"/>
        <d v="2021-07-01T00:00:00"/>
        <d v="2021-07-12T00:00:00"/>
        <d v="2021-09-29T00:00:00"/>
        <d v="2022-01-29T00:00:00"/>
        <d v="2020-05-11T00:00:00"/>
        <d v="2020-09-13T00:00:00"/>
        <d v="2021-05-06T00:00:00"/>
        <d v="2021-04-27T00:00:00"/>
        <d v="2021-09-09T00:00:00"/>
        <d v="2021-08-25T00:00:00"/>
        <d v="2021-01-22T00:00:00"/>
        <d v="2022-05-16T00:00:00"/>
        <d v="2020-12-16T00:00:00"/>
        <d v="2020-10-25T00:00:00"/>
        <d v="2021-09-07T00:00:00"/>
        <d v="2021-06-10T00:00:00"/>
        <d v="2020-11-11T00:00:00"/>
        <d v="2021-09-26T00:00:00"/>
        <d v="2022-10-27T00:00:00"/>
        <d v="2020-11-13T00:00:00"/>
        <d v="2021-11-09T00:00:00"/>
        <d v="2021-09-20T00:00:00"/>
        <d v="2021-06-07T00:00:00"/>
        <d v="2021-03-08T00:00:00"/>
        <d v="2020-09-30T00:00:00"/>
        <d v="2022-07-20T00:00:00"/>
        <d v="2020-11-10T00:00:00"/>
        <d v="2021-02-15T00:00:00"/>
        <d v="2022-04-02T00:00:00"/>
        <d v="2022-01-06T00:00:00"/>
        <d v="2022-02-05T00:00:00"/>
        <d v="2022-08-06T00:00:00"/>
        <d v="2021-05-21T00:00:00"/>
        <d v="2020-12-20T00:00:00"/>
        <d v="2022-02-20T00:00:00"/>
        <d v="2021-06-27T00:00:00"/>
        <d v="2021-10-25T00:00:00"/>
        <d v="2022-06-14T00:00:00"/>
        <d v="2022-06-09T00:00:00"/>
        <d v="2022-03-10T00:00:00"/>
        <d v="2020-12-25T00:00:00"/>
        <d v="2022-06-12T00:00:00"/>
        <d v="2021-11-11T00:00:00"/>
        <d v="2021-08-28T00:00:00"/>
        <d v="2021-11-29T00:00:00"/>
        <d v="2022-09-05T00:00:00"/>
        <d v="2022-05-05T00:00:00"/>
        <d v="2021-09-06T00:00:00"/>
        <d v="2020-12-18T00:00:00"/>
        <d v="2022-07-02T00:00:00"/>
        <d v="2021-12-07T00:00:00"/>
        <d v="2022-05-13T00:00:00"/>
        <d v="2020-07-07T00:00:00"/>
        <d v="2020-07-29T00:00:00"/>
        <d v="2021-07-23T00:00:00"/>
        <d v="2022-10-16T00:00:00"/>
        <d v="2021-05-17T00:00:00"/>
        <d v="2021-06-30T00:00:00"/>
        <d v="2022-02-17T00:00:00"/>
        <d v="2021-03-18T00:00:00"/>
        <d v="2021-09-12T00:00:00"/>
        <d v="2023-04-29T00:00:00"/>
        <d v="2022-08-01T00:00:00"/>
        <d v="2021-10-17T00:00:00"/>
        <d v="2020-10-30T00:00:00"/>
        <d v="2021-03-16T00:00:00"/>
        <d v="2021-05-13T00:00:00"/>
        <d v="2021-01-09T00:00:00"/>
        <d v="2021-05-01T00:00:00"/>
        <d v="2021-01-29T00:00:00"/>
        <d v="2022-03-29T00:00:00"/>
        <d v="2021-05-22T00:00:00"/>
        <d v="2022-04-27T00:00:00"/>
        <d v="2021-09-01T00:00:00"/>
        <d v="2022-06-15T00:00:00"/>
        <d v="2021-02-09T00:00:00"/>
        <d v="2022-02-28T00:00:00"/>
        <d v="2021-07-04T00:00:00"/>
        <d v="2022-02-14T00:00:00"/>
        <d v="2022-09-16T00:00:00"/>
        <d v="2021-02-16T00:00:00"/>
        <d v="2020-08-24T00:00:00"/>
        <d v="2022-02-19T00:00:00"/>
        <d v="2021-04-26T00:00:00"/>
        <d v="2021-07-08T00:00:00"/>
        <d v="2022-06-19T00:00:00"/>
        <d v="2021-08-03T00:00:00"/>
      </sharedItems>
    </cacheField>
    <cacheField name="Department" numFmtId="0">
      <sharedItems count="5">
        <s v="Website"/>
        <s v="Procurement"/>
        <s v="HR"/>
        <s v="Finance"/>
        <s v="Sales"/>
      </sharedItems>
    </cacheField>
    <cacheField name="Salary" numFmtId="8">
      <sharedItems containsSemiMixedTypes="0" containsString="0" containsNumber="1" containsInteger="1" minValue="33920" maxValue="119110"/>
    </cacheField>
    <cacheField name="Country" numFmtId="0">
      <sharedItems count="2">
        <s v="IND"/>
        <s v="NZ"/>
      </sharedItems>
    </cacheField>
    <cacheField name="Tenure" numFmtId="2">
      <sharedItems containsSemiMixedTypes="0" containsString="0" containsNumber="1" minValue="2.7506849315068491" maxValue="5.728767123287671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Ravi teja" refreshedDate="46050.828080555555" backgroundQuery="1" createdVersion="6" refreshedVersion="6" minRefreshableVersion="3" recordCount="0" supportSubquery="1" supportAdvancedDrill="1">
  <cacheSource type="external" connectionId="5"/>
  <cacheFields count="3">
    <cacheField name="[Combined_table].[Date Joined (Month)].[Date Joined (Month)]" caption="Date Joined (Month)" numFmtId="0" hierarchy="12" level="1">
      <sharedItems count="12">
        <s v="May"/>
        <s v="Jun"/>
        <s v="Jul"/>
        <s v="Aug"/>
        <s v="Sep"/>
        <s v="Oct"/>
        <s v="Nov"/>
        <s v="Dec"/>
        <s v="Jan"/>
        <s v="Feb"/>
        <s v="Mar"/>
        <s v="Apr"/>
      </sharedItems>
    </cacheField>
    <cacheField name="[Combined_table].[Date Joined (Year)].[Date Joined (Year)]" caption="Date Joined (Year)" numFmtId="0" hierarchy="10" level="1">
      <sharedItems count="4">
        <s v="2020"/>
        <s v="2021"/>
        <s v="2022"/>
        <s v="2023"/>
      </sharedItems>
    </cacheField>
    <cacheField name="[Measures].[Count of Name]" caption="Count of Name" numFmtId="0" hierarchy="16" level="32767"/>
  </cacheFields>
  <cacheHierarchies count="17">
    <cacheHierarchy uniqueName="[Combined_table].[Name]" caption="Name" attribute="1" defaultMemberUniqueName="[Combined_table].[Name].[All]" allUniqueName="[Combined_table].[Name].[All]" dimensionUniqueName="[Combined_table]" displayFolder="" count="0" memberValueDatatype="130" unbalanced="0"/>
    <cacheHierarchy uniqueName="[Combined_table].[Gender]" caption="Gender" attribute="1" defaultMemberUniqueName="[Combined_table].[Gender].[All]" allUniqueName="[Combined_table].[Gender].[All]" dimensionUniqueName="[Combined_table]" displayFolder="" count="0" memberValueDatatype="130" unbalanced="0"/>
    <cacheHierarchy uniqueName="[Combined_table].[Age]" caption="Age" attribute="1" defaultMemberUniqueName="[Combined_table].[Age].[All]" allUniqueName="[Combined_table].[Age].[All]" dimensionUniqueName="[Combined_table]" displayFolder="" count="0" memberValueDatatype="20" unbalanced="0"/>
    <cacheHierarchy uniqueName="[Combined_table].[Rating]" caption="Rating" attribute="1" defaultMemberUniqueName="[Combined_table].[Rating].[All]" allUniqueName="[Combined_table].[Rating].[All]" dimensionUniqueName="[Combined_table]" displayFolder="" count="0" memberValueDatatype="130" unbalanced="0"/>
    <cacheHierarchy uniqueName="[Combined_table].[Date Joined]" caption="Date Joined" attribute="1" time="1" defaultMemberUniqueName="[Combined_table].[Date Joined].[All]" allUniqueName="[Combined_table].[Date Joined].[All]" dimensionUniqueName="[Combined_table]" displayFolder="" count="2" memberValueDatatype="7" unbalanced="0"/>
    <cacheHierarchy uniqueName="[Combined_table].[Department]" caption="Department" attribute="1" defaultMemberUniqueName="[Combined_table].[Department].[All]" allUniqueName="[Combined_table].[Department].[All]" dimensionUniqueName="[Combined_table]" displayFolder="" count="0" memberValueDatatype="130" unbalanced="0"/>
    <cacheHierarchy uniqueName="[Combined_table].[Salary]" caption="Salary" attribute="1" defaultMemberUniqueName="[Combined_table].[Salary].[All]" allUniqueName="[Combined_table].[Salary].[All]" dimensionUniqueName="[Combined_table]" displayFolder="" count="0" memberValueDatatype="20" unbalanced="0"/>
    <cacheHierarchy uniqueName="[Combined_table].[Country]" caption="Country" attribute="1" defaultMemberUniqueName="[Combined_table].[Country].[All]" allUniqueName="[Combined_table].[Country].[All]" dimensionUniqueName="[Combined_table]" displayFolder="" count="0" memberValueDatatype="130" unbalanced="0"/>
    <cacheHierarchy uniqueName="[Combined_table].[Tenure]" caption="Tenure" attribute="1" defaultMemberUniqueName="[Combined_table].[Tenure].[All]" allUniqueName="[Combined_table].[Tenure].[All]" dimensionUniqueName="[Combined_table]" displayFolder="" count="0" memberValueDatatype="5" unbalanced="0"/>
    <cacheHierarchy uniqueName="[Combined_table].[Rating as number]" caption="Rating as number" attribute="1" defaultMemberUniqueName="[Combined_table].[Rating as number].[All]" allUniqueName="[Combined_table].[Rating as number].[All]" dimensionUniqueName="[Combined_table]" displayFolder="" count="0" memberValueDatatype="20" unbalanced="0"/>
    <cacheHierarchy uniqueName="[Combined_table].[Date Joined (Year)]" caption="Date Joined (Year)" attribute="1" defaultMemberUniqueName="[Combined_table].[Date Joined (Year)].[All]" allUniqueName="[Combined_table].[Date Joined (Year)].[All]" dimensionUniqueName="[Combined_table]" displayFolder="" count="2" memberValueDatatype="130" unbalanced="0">
      <fieldsUsage count="2">
        <fieldUsage x="-1"/>
        <fieldUsage x="1"/>
      </fieldsUsage>
    </cacheHierarchy>
    <cacheHierarchy uniqueName="[Combined_table].[Date Joined (Quarter)]" caption="Date Joined (Quarter)" attribute="1" defaultMemberUniqueName="[Combined_table].[Date Joined (Quarter)].[All]" allUniqueName="[Combined_table].[Date Joined (Quarter)].[All]" dimensionUniqueName="[Combined_table]" displayFolder="" count="0" memberValueDatatype="130" unbalanced="0"/>
    <cacheHierarchy uniqueName="[Combined_table].[Date Joined (Month)]" caption="Date Joined (Month)" attribute="1" defaultMemberUniqueName="[Combined_table].[Date Joined (Month)].[All]" allUniqueName="[Combined_table].[Date Joined (Month)].[All]" dimensionUniqueName="[Combined_table]" displayFolder="" count="2" memberValueDatatype="130" unbalanced="0">
      <fieldsUsage count="2">
        <fieldUsage x="-1"/>
        <fieldUsage x="0"/>
      </fieldsUsage>
    </cacheHierarchy>
    <cacheHierarchy uniqueName="[Combined_table].[Date Joined (Month Index)]" caption="Date Joined (Month Index)" attribute="1" defaultMemberUniqueName="[Combined_table].[Date Joined (Month Index)].[All]" allUniqueName="[Combined_table].[Date Joined (Month Index)].[All]" dimensionUniqueName="[Combined_table]" displayFolder="" count="0" memberValueDatatype="20" unbalanced="0" hidden="1"/>
    <cacheHierarchy uniqueName="[Measures].[__XL_Count Combined_table]" caption="__XL_Count Combined_table" measure="1" displayFolder="" measureGroup="Combined_table" count="0" hidden="1"/>
    <cacheHierarchy uniqueName="[Measures].[__No measures defined]" caption="__No measures defined" measure="1" displayFolder="" count="0" hidden="1"/>
    <cacheHierarchy uniqueName="[Measures].[Count of Name]" caption="Count of Name" measure="1" displayFolder="" measureGroup="Combined_tabl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name="Combined_table" uniqueName="[Combined_table]" caption="Combined_table"/>
    <dimension measure="1" name="Measures" uniqueName="[Measures]" caption="Measures"/>
  </dimensions>
  <measureGroups count="1">
    <measureGroup name="Combined_table" caption="Combined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83">
  <r>
    <s v="Deepali Charan"/>
    <x v="0"/>
    <n v="20"/>
    <x v="0"/>
    <x v="0"/>
    <x v="0"/>
    <n v="112650"/>
    <x v="0"/>
    <n v="5.279452054794521"/>
  </r>
  <r>
    <s v="Yagna Sujeev"/>
    <x v="1"/>
    <n v="32"/>
    <x v="1"/>
    <x v="1"/>
    <x v="0"/>
    <n v="43840"/>
    <x v="0"/>
    <n v="4.8109589041095893"/>
  </r>
  <r>
    <s v="Satyendra Venkatadri"/>
    <x v="0"/>
    <n v="31"/>
    <x v="0"/>
    <x v="2"/>
    <x v="1"/>
    <n v="103550"/>
    <x v="0"/>
    <n v="3.7972602739726029"/>
  </r>
  <r>
    <s v="Madhavdas Buhpathi"/>
    <x v="1"/>
    <n v="32"/>
    <x v="0"/>
    <x v="3"/>
    <x v="2"/>
    <n v="45510"/>
    <x v="0"/>
    <n v="4.6849315068493151"/>
  </r>
  <r>
    <s v="Sahila Chandrasekhar"/>
    <x v="2"/>
    <n v="37"/>
    <x v="2"/>
    <x v="4"/>
    <x v="3"/>
    <n v="115440"/>
    <x v="0"/>
    <n v="5.3808219178082188"/>
  </r>
  <r>
    <s v="Mirium Seemantini Shivakumar"/>
    <x v="1"/>
    <n v="38"/>
    <x v="1"/>
    <x v="5"/>
    <x v="4"/>
    <n v="56870"/>
    <x v="0"/>
    <n v="4.8794520547945206"/>
  </r>
  <r>
    <s v="Purnendu Vijayarangan"/>
    <x v="1"/>
    <n v="25"/>
    <x v="0"/>
    <x v="6"/>
    <x v="4"/>
    <n v="92700"/>
    <x v="0"/>
    <n v="5.2191780821917808"/>
  </r>
  <r>
    <s v="Rukma Vinita"/>
    <x v="2"/>
    <n v="32"/>
    <x v="0"/>
    <x v="7"/>
    <x v="0"/>
    <n v="91310"/>
    <x v="0"/>
    <n v="3.6602739726027398"/>
  </r>
  <r>
    <s v="Yauvani Tarpa"/>
    <x v="0"/>
    <n v="33"/>
    <x v="0"/>
    <x v="8"/>
    <x v="4"/>
    <n v="74550"/>
    <x v="0"/>
    <n v="4.7260273972602738"/>
  </r>
  <r>
    <s v="Damayanti Thangavadivelu"/>
    <x v="0"/>
    <n v="25"/>
    <x v="1"/>
    <x v="9"/>
    <x v="1"/>
    <n v="109190"/>
    <x v="0"/>
    <n v="3.7917808219178082"/>
  </r>
  <r>
    <s v="Manjusri Ruchi"/>
    <x v="1"/>
    <n v="40"/>
    <x v="0"/>
    <x v="10"/>
    <x v="0"/>
    <n v="104410"/>
    <x v="0"/>
    <n v="4.7369863013698632"/>
  </r>
  <r>
    <s v="Mithil Nadkarni"/>
    <x v="0"/>
    <n v="30"/>
    <x v="0"/>
    <x v="11"/>
    <x v="3"/>
    <n v="96800"/>
    <x v="0"/>
    <n v="4.1232876712328768"/>
  </r>
  <r>
    <s v="Ardhendu Abhichandra Jayakar"/>
    <x v="0"/>
    <n v="28"/>
    <x v="1"/>
    <x v="12"/>
    <x v="3"/>
    <n v="48170"/>
    <x v="0"/>
    <n v="5.6684931506849319"/>
  </r>
  <r>
    <s v="Akbar Sorabhjee"/>
    <x v="0"/>
    <n v="21"/>
    <x v="0"/>
    <x v="13"/>
    <x v="1"/>
    <n v="37920"/>
    <x v="0"/>
    <n v="5.4986301369863018"/>
  </r>
  <r>
    <s v="Bandhula Sathyanna"/>
    <x v="0"/>
    <n v="34"/>
    <x v="0"/>
    <x v="14"/>
    <x v="1"/>
    <n v="112650"/>
    <x v="0"/>
    <n v="3.8547945205479452"/>
  </r>
  <r>
    <s v="Daruka Ghazali"/>
    <x v="1"/>
    <n v="34"/>
    <x v="2"/>
    <x v="15"/>
    <x v="4"/>
    <n v="49630"/>
    <x v="0"/>
    <n v="3.8054794520547945"/>
  </r>
  <r>
    <s v="Heer Pennathur"/>
    <x v="0"/>
    <n v="36"/>
    <x v="0"/>
    <x v="16"/>
    <x v="0"/>
    <n v="118840"/>
    <x v="0"/>
    <n v="5.7287671232876711"/>
  </r>
  <r>
    <s v="Shekhar Eswara"/>
    <x v="0"/>
    <n v="30"/>
    <x v="0"/>
    <x v="17"/>
    <x v="0"/>
    <n v="69710"/>
    <x v="0"/>
    <n v="3.452054794520548"/>
  </r>
  <r>
    <s v="Udyan Lanka"/>
    <x v="0"/>
    <n v="20"/>
    <x v="0"/>
    <x v="18"/>
    <x v="1"/>
    <n v="79570"/>
    <x v="0"/>
    <n v="3.7424657534246575"/>
  </r>
  <r>
    <s v="Shreela Ramasubraman"/>
    <x v="1"/>
    <n v="22"/>
    <x v="1"/>
    <x v="19"/>
    <x v="1"/>
    <n v="76900"/>
    <x v="0"/>
    <n v="4.5506849315068489"/>
  </r>
  <r>
    <s v="Sanchali Shirish"/>
    <x v="0"/>
    <n v="27"/>
    <x v="0"/>
    <x v="20"/>
    <x v="4"/>
    <n v="54970"/>
    <x v="0"/>
    <n v="5.4136986301369863"/>
  </r>
  <r>
    <s v="Gangadutt Ragha"/>
    <x v="0"/>
    <n v="37"/>
    <x v="2"/>
    <x v="21"/>
    <x v="0"/>
    <n v="88050"/>
    <x v="0"/>
    <n v="4.8547945205479452"/>
  </r>
  <r>
    <s v="Waheeda Vasuman"/>
    <x v="0"/>
    <n v="43"/>
    <x v="0"/>
    <x v="22"/>
    <x v="4"/>
    <n v="36040"/>
    <x v="0"/>
    <n v="4.0849315068493155"/>
  </r>
  <r>
    <s v="Nanak Sapna"/>
    <x v="1"/>
    <n v="42"/>
    <x v="3"/>
    <x v="23"/>
    <x v="1"/>
    <n v="75000"/>
    <x v="0"/>
    <n v="3.6465753424657534"/>
  </r>
  <r>
    <s v="Shobhana Samuel"/>
    <x v="0"/>
    <n v="35"/>
    <x v="0"/>
    <x v="24"/>
    <x v="1"/>
    <n v="40400"/>
    <x v="0"/>
    <n v="3.7890410958904108"/>
  </r>
  <r>
    <s v="Amlankusum Rajabhushan"/>
    <x v="0"/>
    <n v="24"/>
    <x v="0"/>
    <x v="25"/>
    <x v="0"/>
    <n v="100420"/>
    <x v="0"/>
    <n v="3.9013698630136986"/>
  </r>
  <r>
    <s v="Pratigya Rema"/>
    <x v="1"/>
    <n v="31"/>
    <x v="0"/>
    <x v="26"/>
    <x v="0"/>
    <n v="58100"/>
    <x v="0"/>
    <n v="3.9589041095890409"/>
  </r>
  <r>
    <s v="Ramnath Ravuri"/>
    <x v="1"/>
    <n v="44"/>
    <x v="0"/>
    <x v="27"/>
    <x v="0"/>
    <n v="114870"/>
    <x v="0"/>
    <n v="2.9150684931506849"/>
  </r>
  <r>
    <s v="Prerana Nishita"/>
    <x v="1"/>
    <n v="32"/>
    <x v="0"/>
    <x v="28"/>
    <x v="1"/>
    <n v="41570"/>
    <x v="0"/>
    <n v="4.1095890410958908"/>
  </r>
  <r>
    <s v="Makshi Vinutha"/>
    <x v="1"/>
    <n v="30"/>
    <x v="0"/>
    <x v="29"/>
    <x v="1"/>
    <n v="112570"/>
    <x v="0"/>
    <n v="3.4219178082191779"/>
  </r>
  <r>
    <s v="Shiuli Sapna"/>
    <x v="0"/>
    <n v="26"/>
    <x v="0"/>
    <x v="30"/>
    <x v="1"/>
    <n v="47360"/>
    <x v="0"/>
    <n v="5.1643835616438354"/>
  </r>
  <r>
    <s v="Agrata Rajarama"/>
    <x v="1"/>
    <n v="21"/>
    <x v="0"/>
    <x v="31"/>
    <x v="3"/>
    <n v="65920"/>
    <x v="0"/>
    <n v="4.912328767123288"/>
  </r>
  <r>
    <s v="Vasu Nandin"/>
    <x v="1"/>
    <n v="28"/>
    <x v="0"/>
    <x v="32"/>
    <x v="1"/>
    <n v="99970"/>
    <x v="0"/>
    <n v="4.0493150684931507"/>
  </r>
  <r>
    <s v="Bhuvan Pals"/>
    <x v="1"/>
    <n v="25"/>
    <x v="1"/>
    <x v="33"/>
    <x v="0"/>
    <n v="80700"/>
    <x v="0"/>
    <n v="3.8794520547945206"/>
  </r>
  <r>
    <s v="Gumwant Veera"/>
    <x v="0"/>
    <n v="24"/>
    <x v="2"/>
    <x v="34"/>
    <x v="3"/>
    <n v="52610"/>
    <x v="0"/>
    <n v="4.5863013698630137"/>
  </r>
  <r>
    <s v="Narois Motiwala"/>
    <x v="0"/>
    <n v="29"/>
    <x v="2"/>
    <x v="35"/>
    <x v="0"/>
    <n v="112110"/>
    <x v="0"/>
    <n v="5.2876712328767121"/>
  </r>
  <r>
    <s v="Anjushri Chandiramani"/>
    <x v="1"/>
    <n v="27"/>
    <x v="0"/>
    <x v="36"/>
    <x v="2"/>
    <n v="119110"/>
    <x v="0"/>
    <n v="5.4465753424657537"/>
  </r>
  <r>
    <s v="Krishnakanta Vellanki"/>
    <x v="0"/>
    <n v="22"/>
    <x v="1"/>
    <x v="37"/>
    <x v="4"/>
    <n v="112780"/>
    <x v="0"/>
    <n v="4.5616438356164384"/>
  </r>
  <r>
    <s v="Dhruv Manjunath"/>
    <x v="1"/>
    <n v="36"/>
    <x v="0"/>
    <x v="38"/>
    <x v="1"/>
    <n v="114890"/>
    <x v="0"/>
    <n v="5.5506849315068489"/>
  </r>
  <r>
    <s v="Vanmala Shriharsha"/>
    <x v="0"/>
    <n v="27"/>
    <x v="0"/>
    <x v="39"/>
    <x v="3"/>
    <n v="48980"/>
    <x v="0"/>
    <n v="4.2273972602739729"/>
  </r>
  <r>
    <s v="Sameer Shashank Sapra"/>
    <x v="0"/>
    <n v="21"/>
    <x v="0"/>
    <x v="40"/>
    <x v="2"/>
    <n v="75880"/>
    <x v="0"/>
    <n v="5.1205479452054794"/>
  </r>
  <r>
    <s v="Anumati Shyamari Meherhomji"/>
    <x v="1"/>
    <n v="28"/>
    <x v="0"/>
    <x v="41"/>
    <x v="4"/>
    <n v="53240"/>
    <x v="0"/>
    <n v="4.8027397260273972"/>
  </r>
  <r>
    <s v="Tarala Vishaal"/>
    <x v="1"/>
    <n v="34"/>
    <x v="0"/>
    <x v="42"/>
    <x v="3"/>
    <n v="85000"/>
    <x v="0"/>
    <n v="4.5260273972602736"/>
  </r>
  <r>
    <s v="Shubhra Potla"/>
    <x v="1"/>
    <n v="21"/>
    <x v="0"/>
    <x v="43"/>
    <x v="0"/>
    <n v="33920"/>
    <x v="0"/>
    <n v="3.9178082191780823"/>
  </r>
  <r>
    <s v="Hemavati Muthiah"/>
    <x v="1"/>
    <n v="33"/>
    <x v="0"/>
    <x v="44"/>
    <x v="0"/>
    <n v="75280"/>
    <x v="0"/>
    <n v="4.9205479452054792"/>
  </r>
  <r>
    <s v="Krittika Gaekwad"/>
    <x v="1"/>
    <n v="34"/>
    <x v="0"/>
    <x v="45"/>
    <x v="3"/>
    <n v="58940"/>
    <x v="0"/>
    <n v="3.9863013698630136"/>
  </r>
  <r>
    <s v="Shevantilal Muppala"/>
    <x v="1"/>
    <n v="28"/>
    <x v="0"/>
    <x v="46"/>
    <x v="1"/>
    <n v="104770"/>
    <x v="0"/>
    <n v="4.4493150684931511"/>
  </r>
  <r>
    <s v="Shattesh Utpat"/>
    <x v="0"/>
    <n v="21"/>
    <x v="0"/>
    <x v="47"/>
    <x v="1"/>
    <n v="57090"/>
    <x v="0"/>
    <n v="3.6931506849315068"/>
  </r>
  <r>
    <s v="Kamalakshi Mukundan"/>
    <x v="0"/>
    <n v="27"/>
    <x v="1"/>
    <x v="48"/>
    <x v="3"/>
    <n v="91650"/>
    <x v="0"/>
    <n v="5.1369863013698627"/>
  </r>
  <r>
    <s v="Chandana Sannidhi Surnilla"/>
    <x v="0"/>
    <n v="42"/>
    <x v="2"/>
    <x v="49"/>
    <x v="3"/>
    <n v="70270"/>
    <x v="0"/>
    <n v="3.7780821917808218"/>
  </r>
  <r>
    <s v="Indu Varada Sumedh"/>
    <x v="1"/>
    <n v="28"/>
    <x v="0"/>
    <x v="50"/>
    <x v="3"/>
    <n v="75970"/>
    <x v="0"/>
    <n v="5.2739726027397262"/>
  </r>
  <r>
    <s v="Karuna Pashupathy"/>
    <x v="2"/>
    <n v="27"/>
    <x v="1"/>
    <x v="51"/>
    <x v="0"/>
    <n v="90700"/>
    <x v="0"/>
    <n v="5.0328767123287674"/>
  </r>
  <r>
    <s v="Mardav Ramaswami"/>
    <x v="0"/>
    <n v="30"/>
    <x v="0"/>
    <x v="52"/>
    <x v="1"/>
    <n v="60570"/>
    <x v="0"/>
    <n v="3.9506849315068493"/>
  </r>
  <r>
    <s v="Sarayu Ragunathan"/>
    <x v="0"/>
    <n v="33"/>
    <x v="0"/>
    <x v="53"/>
    <x v="1"/>
    <n v="115920"/>
    <x v="0"/>
    <n v="5.3315068493150681"/>
  </r>
  <r>
    <s v="Kevalkumar Solanki"/>
    <x v="1"/>
    <n v="33"/>
    <x v="0"/>
    <x v="54"/>
    <x v="3"/>
    <n v="65360"/>
    <x v="0"/>
    <n v="5.5972602739726032"/>
  </r>
  <r>
    <s v="Upendra Swati"/>
    <x v="2"/>
    <n v="30"/>
    <x v="0"/>
    <x v="55"/>
    <x v="3"/>
    <n v="64000"/>
    <x v="0"/>
    <n v="4.1479452054794521"/>
  </r>
  <r>
    <s v="Deepit Ranjana"/>
    <x v="1"/>
    <n v="34"/>
    <x v="0"/>
    <x v="56"/>
    <x v="3"/>
    <n v="92450"/>
    <x v="0"/>
    <n v="4.5643835616438357"/>
  </r>
  <r>
    <s v="Amal Nimesh"/>
    <x v="0"/>
    <n v="31"/>
    <x v="0"/>
    <x v="57"/>
    <x v="0"/>
    <n v="48950"/>
    <x v="0"/>
    <n v="4.3808219178082188"/>
  </r>
  <r>
    <s v="Kunja Prashanta Vibha"/>
    <x v="1"/>
    <n v="27"/>
    <x v="0"/>
    <x v="25"/>
    <x v="0"/>
    <n v="83750"/>
    <x v="0"/>
    <n v="3.9013698630136986"/>
  </r>
  <r>
    <s v="Godavari Veena"/>
    <x v="1"/>
    <n v="40"/>
    <x v="0"/>
    <x v="58"/>
    <x v="0"/>
    <n v="87620"/>
    <x v="0"/>
    <n v="4.8575342465753426"/>
  </r>
  <r>
    <s v="Devasree Fullara Saurin"/>
    <x v="1"/>
    <n v="20"/>
    <x v="2"/>
    <x v="59"/>
    <x v="4"/>
    <n v="68900"/>
    <x v="0"/>
    <n v="4.3095890410958901"/>
  </r>
  <r>
    <s v="Geena Raghavanpillai"/>
    <x v="0"/>
    <n v="32"/>
    <x v="0"/>
    <x v="60"/>
    <x v="4"/>
    <n v="53540"/>
    <x v="0"/>
    <n v="4.5095890410958903"/>
  </r>
  <r>
    <s v="Rupak Mehra"/>
    <x v="0"/>
    <n v="28"/>
    <x v="4"/>
    <x v="61"/>
    <x v="4"/>
    <n v="43510"/>
    <x v="0"/>
    <n v="3.536986301369863"/>
  </r>
  <r>
    <s v="Sawini Chandan"/>
    <x v="1"/>
    <n v="38"/>
    <x v="3"/>
    <x v="62"/>
    <x v="4"/>
    <n v="109160"/>
    <x v="0"/>
    <n v="4.7479452054794518"/>
  </r>
  <r>
    <s v="Baruna Ogale"/>
    <x v="0"/>
    <n v="40"/>
    <x v="0"/>
    <x v="63"/>
    <x v="1"/>
    <n v="99750"/>
    <x v="0"/>
    <n v="5.0547945205479454"/>
  </r>
  <r>
    <s v="Jagajeet Viraj"/>
    <x v="1"/>
    <n v="31"/>
    <x v="0"/>
    <x v="64"/>
    <x v="0"/>
    <n v="41980"/>
    <x v="0"/>
    <n v="5.3835616438356162"/>
  </r>
  <r>
    <s v="Kulbhushan Moorthy"/>
    <x v="0"/>
    <n v="36"/>
    <x v="0"/>
    <x v="65"/>
    <x v="3"/>
    <n v="71380"/>
    <x v="0"/>
    <n v="4.8684931506849312"/>
  </r>
  <r>
    <s v="Ilesh Dasgupta"/>
    <x v="0"/>
    <n v="27"/>
    <x v="4"/>
    <x v="66"/>
    <x v="1"/>
    <n v="113280"/>
    <x v="0"/>
    <n v="4.1150684931506847"/>
  </r>
  <r>
    <s v="Madhumati Gazala Soumitra"/>
    <x v="1"/>
    <n v="33"/>
    <x v="0"/>
    <x v="67"/>
    <x v="3"/>
    <n v="86570"/>
    <x v="0"/>
    <n v="3.5671232876712327"/>
  </r>
  <r>
    <s v="Chitrasen Laul"/>
    <x v="0"/>
    <n v="26"/>
    <x v="0"/>
    <x v="68"/>
    <x v="1"/>
    <n v="53540"/>
    <x v="0"/>
    <n v="4.6547945205479451"/>
  </r>
  <r>
    <s v="Jaishree Atasi Yavatkar"/>
    <x v="0"/>
    <n v="37"/>
    <x v="0"/>
    <x v="69"/>
    <x v="0"/>
    <n v="69070"/>
    <x v="0"/>
    <n v="3.8602739726027395"/>
  </r>
  <r>
    <s v="Kantimoy Pritish"/>
    <x v="1"/>
    <n v="30"/>
    <x v="2"/>
    <x v="70"/>
    <x v="3"/>
    <n v="67910"/>
    <x v="0"/>
    <n v="4.7150684931506852"/>
  </r>
  <r>
    <s v="Rameshwari Chikodi"/>
    <x v="0"/>
    <n v="30"/>
    <x v="0"/>
    <x v="71"/>
    <x v="0"/>
    <n v="69120"/>
    <x v="0"/>
    <n v="5.0273972602739727"/>
  </r>
  <r>
    <s v="Lalit Kothari"/>
    <x v="1"/>
    <n v="34"/>
    <x v="0"/>
    <x v="72"/>
    <x v="3"/>
    <n v="60130"/>
    <x v="0"/>
    <n v="4.1068493150684935"/>
  </r>
  <r>
    <s v="Sahas Sanabhi Shrikant"/>
    <x v="0"/>
    <n v="23"/>
    <x v="0"/>
    <x v="73"/>
    <x v="1"/>
    <n v="106460"/>
    <x v="0"/>
    <n v="4.5780821917808217"/>
  </r>
  <r>
    <s v="Kaishori Harathi Kateel"/>
    <x v="1"/>
    <n v="37"/>
    <x v="0"/>
    <x v="74"/>
    <x v="2"/>
    <n v="118100"/>
    <x v="0"/>
    <n v="4.5479452054794525"/>
  </r>
  <r>
    <s v="Rushil Kripa"/>
    <x v="1"/>
    <n v="36"/>
    <x v="0"/>
    <x v="75"/>
    <x v="1"/>
    <n v="78390"/>
    <x v="0"/>
    <n v="4.3315068493150681"/>
  </r>
  <r>
    <s v="Sarojini Naueshwara"/>
    <x v="1"/>
    <n v="30"/>
    <x v="0"/>
    <x v="17"/>
    <x v="1"/>
    <n v="114180"/>
    <x v="0"/>
    <n v="3.452054794520548"/>
  </r>
  <r>
    <s v="Sartaj Probal"/>
    <x v="1"/>
    <n v="28"/>
    <x v="0"/>
    <x v="76"/>
    <x v="1"/>
    <n v="104120"/>
    <x v="0"/>
    <n v="3.9972602739726026"/>
  </r>
  <r>
    <s v="Mahindra Sreedharan"/>
    <x v="0"/>
    <n v="30"/>
    <x v="0"/>
    <x v="69"/>
    <x v="1"/>
    <n v="67950"/>
    <x v="0"/>
    <n v="3.8602739726027395"/>
  </r>
  <r>
    <s v="Suchira Bhanupriya Tapti"/>
    <x v="1"/>
    <n v="29"/>
    <x v="0"/>
    <x v="77"/>
    <x v="0"/>
    <n v="34980"/>
    <x v="0"/>
    <n v="5.7178082191780826"/>
  </r>
  <r>
    <s v="Fullara Sushanti Mokate"/>
    <x v="1"/>
    <n v="24"/>
    <x v="0"/>
    <x v="78"/>
    <x v="0"/>
    <n v="62780"/>
    <x v="0"/>
    <n v="5.375342465753425"/>
  </r>
  <r>
    <s v="Hridaynath Tendulkar"/>
    <x v="0"/>
    <n v="20"/>
    <x v="0"/>
    <x v="42"/>
    <x v="0"/>
    <n v="107700"/>
    <x v="0"/>
    <n v="4.5260273972602736"/>
  </r>
  <r>
    <s v="Abhaya Priyavardhan"/>
    <x v="0"/>
    <n v="25"/>
    <x v="0"/>
    <x v="79"/>
    <x v="4"/>
    <n v="65700"/>
    <x v="0"/>
    <n v="4.7315068493150685"/>
  </r>
  <r>
    <s v="Ayog Chakrabarti"/>
    <x v="1"/>
    <n v="33"/>
    <x v="4"/>
    <x v="80"/>
    <x v="0"/>
    <n v="75480"/>
    <x v="0"/>
    <n v="4.7561643835616438"/>
  </r>
  <r>
    <s v="Pragya Nilufar"/>
    <x v="0"/>
    <n v="33"/>
    <x v="0"/>
    <x v="81"/>
    <x v="0"/>
    <n v="53870"/>
    <x v="0"/>
    <n v="4.3863013698630136"/>
  </r>
  <r>
    <s v="Shulabh Qutub Sundaramoorthy"/>
    <x v="1"/>
    <n v="36"/>
    <x v="0"/>
    <x v="82"/>
    <x v="4"/>
    <n v="78540"/>
    <x v="0"/>
    <n v="4.4273972602739722"/>
  </r>
  <r>
    <s v="Vinanti Choudhari"/>
    <x v="0"/>
    <n v="19"/>
    <x v="0"/>
    <x v="83"/>
    <x v="1"/>
    <n v="58960"/>
    <x v="0"/>
    <n v="5.0164383561643833"/>
  </r>
  <r>
    <s v="Ranajay Kailashnath Richa"/>
    <x v="0"/>
    <n v="46"/>
    <x v="0"/>
    <x v="84"/>
    <x v="1"/>
    <n v="70610"/>
    <x v="0"/>
    <n v="3.7041095890410958"/>
  </r>
  <r>
    <s v="Asija Pothireddy"/>
    <x v="0"/>
    <n v="33"/>
    <x v="0"/>
    <x v="85"/>
    <x v="3"/>
    <n v="59430"/>
    <x v="0"/>
    <n v="5.117808219178082"/>
  </r>
  <r>
    <s v="Piyali Mahanthapa"/>
    <x v="0"/>
    <n v="33"/>
    <x v="1"/>
    <x v="69"/>
    <x v="1"/>
    <n v="48530"/>
    <x v="0"/>
    <n v="3.8602739726027395"/>
  </r>
  <r>
    <s v="Sukhdev Nageshwar"/>
    <x v="1"/>
    <n v="33"/>
    <x v="0"/>
    <x v="86"/>
    <x v="0"/>
    <n v="96140"/>
    <x v="0"/>
    <n v="5.2602739726027394"/>
  </r>
  <r>
    <s v="Lindy Guillet"/>
    <x v="0"/>
    <n v="22"/>
    <x v="1"/>
    <x v="87"/>
    <x v="4"/>
    <n v="112780"/>
    <x v="1"/>
    <n v="4.3917808219178083"/>
  </r>
  <r>
    <s v="Ambros Murthwaite"/>
    <x v="0"/>
    <n v="46"/>
    <x v="0"/>
    <x v="61"/>
    <x v="1"/>
    <n v="70610"/>
    <x v="1"/>
    <n v="3.536986301369863"/>
  </r>
  <r>
    <s v="Tatum Hush"/>
    <x v="1"/>
    <n v="28"/>
    <x v="0"/>
    <x v="88"/>
    <x v="4"/>
    <n v="53240"/>
    <x v="1"/>
    <n v="4.6356164383561644"/>
  </r>
  <r>
    <s v="Benny Karolovsky"/>
    <x v="2"/>
    <n v="37"/>
    <x v="2"/>
    <x v="89"/>
    <x v="3"/>
    <n v="115440"/>
    <x v="1"/>
    <n v="5.2136986301369861"/>
  </r>
  <r>
    <s v="Hoyt D'Alesco"/>
    <x v="0"/>
    <n v="32"/>
    <x v="0"/>
    <x v="90"/>
    <x v="4"/>
    <n v="53540"/>
    <x v="1"/>
    <n v="4.3397260273972602"/>
  </r>
  <r>
    <s v="Halimeda Kuscha"/>
    <x v="1"/>
    <n v="30"/>
    <x v="0"/>
    <x v="91"/>
    <x v="1"/>
    <n v="112570"/>
    <x v="1"/>
    <n v="3.2547945205479452"/>
  </r>
  <r>
    <s v="Erin Androsik"/>
    <x v="0"/>
    <n v="33"/>
    <x v="1"/>
    <x v="47"/>
    <x v="1"/>
    <n v="48530"/>
    <x v="1"/>
    <n v="3.6931506849315068"/>
  </r>
  <r>
    <s v="Vic Radolf"/>
    <x v="1"/>
    <n v="24"/>
    <x v="0"/>
    <x v="92"/>
    <x v="0"/>
    <n v="62780"/>
    <x v="1"/>
    <n v="5.2082191780821914"/>
  </r>
  <r>
    <s v="William Reeveley"/>
    <x v="0"/>
    <n v="33"/>
    <x v="0"/>
    <x v="93"/>
    <x v="0"/>
    <n v="53870"/>
    <x v="1"/>
    <n v="4.2191780821917808"/>
  </r>
  <r>
    <s v="Ewart Laphorn"/>
    <x v="1"/>
    <n v="27"/>
    <x v="0"/>
    <x v="0"/>
    <x v="2"/>
    <n v="119110"/>
    <x v="1"/>
    <n v="5.279452054794521"/>
  </r>
  <r>
    <s v="Bev Lashley"/>
    <x v="0"/>
    <n v="29"/>
    <x v="2"/>
    <x v="40"/>
    <x v="0"/>
    <n v="112110"/>
    <x v="1"/>
    <n v="5.1205479452054794"/>
  </r>
  <r>
    <s v="Kath Bletsoe"/>
    <x v="0"/>
    <n v="25"/>
    <x v="0"/>
    <x v="56"/>
    <x v="4"/>
    <n v="65700"/>
    <x v="1"/>
    <n v="4.5643835616438357"/>
  </r>
  <r>
    <s v="Murry Dryburgh"/>
    <x v="0"/>
    <n v="37"/>
    <x v="0"/>
    <x v="47"/>
    <x v="0"/>
    <n v="69070"/>
    <x v="1"/>
    <n v="3.6931506849315068"/>
  </r>
  <r>
    <s v="Kaine Padly"/>
    <x v="0"/>
    <n v="20"/>
    <x v="0"/>
    <x v="94"/>
    <x v="0"/>
    <n v="107700"/>
    <x v="1"/>
    <n v="4.3561643835616435"/>
  </r>
  <r>
    <s v="Kassi Jonson"/>
    <x v="1"/>
    <n v="32"/>
    <x v="1"/>
    <x v="95"/>
    <x v="0"/>
    <n v="43840"/>
    <x v="1"/>
    <n v="4.6438356164383565"/>
  </r>
  <r>
    <s v="Simon Kembery"/>
    <x v="0"/>
    <n v="40"/>
    <x v="0"/>
    <x v="96"/>
    <x v="1"/>
    <n v="99750"/>
    <x v="1"/>
    <n v="4.8931506849315065"/>
  </r>
  <r>
    <s v="Orton Livick"/>
    <x v="0"/>
    <n v="21"/>
    <x v="0"/>
    <x v="97"/>
    <x v="1"/>
    <n v="37920"/>
    <x v="1"/>
    <n v="5.3287671232876717"/>
  </r>
  <r>
    <s v="Kelci Walkden"/>
    <x v="0"/>
    <n v="21"/>
    <x v="0"/>
    <x v="98"/>
    <x v="1"/>
    <n v="57090"/>
    <x v="1"/>
    <n v="3.526027397260274"/>
  </r>
  <r>
    <s v="Dotty Strutley"/>
    <x v="1"/>
    <n v="31"/>
    <x v="0"/>
    <x v="99"/>
    <x v="0"/>
    <n v="41980"/>
    <x v="1"/>
    <n v="5.2164383561643834"/>
  </r>
  <r>
    <s v="Shari McNee"/>
    <x v="0"/>
    <n v="21"/>
    <x v="0"/>
    <x v="100"/>
    <x v="2"/>
    <n v="75880"/>
    <x v="1"/>
    <n v="4.9506849315068493"/>
  </r>
  <r>
    <s v="Oby Sorrel"/>
    <x v="1"/>
    <n v="34"/>
    <x v="0"/>
    <x v="101"/>
    <x v="3"/>
    <n v="58940"/>
    <x v="1"/>
    <n v="3.8246575342465752"/>
  </r>
  <r>
    <s v="Husein Augar"/>
    <x v="1"/>
    <n v="30"/>
    <x v="2"/>
    <x v="74"/>
    <x v="3"/>
    <n v="67910"/>
    <x v="1"/>
    <n v="4.5479452054794525"/>
  </r>
  <r>
    <s v="Brien Boise"/>
    <x v="1"/>
    <n v="31"/>
    <x v="0"/>
    <x v="2"/>
    <x v="0"/>
    <n v="58100"/>
    <x v="1"/>
    <n v="3.7972602739726029"/>
  </r>
  <r>
    <s v="Esmaria Denecamp"/>
    <x v="0"/>
    <n v="27"/>
    <x v="0"/>
    <x v="102"/>
    <x v="3"/>
    <n v="48980"/>
    <x v="1"/>
    <n v="4.0602739726027401"/>
  </r>
  <r>
    <s v="Curtice Advani"/>
    <x v="2"/>
    <n v="30"/>
    <x v="0"/>
    <x v="103"/>
    <x v="3"/>
    <n v="64000"/>
    <x v="1"/>
    <n v="3.978082191780822"/>
  </r>
  <r>
    <s v="Barr Faughny"/>
    <x v="1"/>
    <n v="42"/>
    <x v="3"/>
    <x v="104"/>
    <x v="1"/>
    <n v="75000"/>
    <x v="1"/>
    <n v="3.4794520547945207"/>
  </r>
  <r>
    <s v="Merrilee Plenty"/>
    <x v="1"/>
    <n v="40"/>
    <x v="0"/>
    <x v="105"/>
    <x v="0"/>
    <n v="87620"/>
    <x v="1"/>
    <n v="4.6904109589041099"/>
  </r>
  <r>
    <s v="Niall Selesnick"/>
    <x v="1"/>
    <n v="29"/>
    <x v="0"/>
    <x v="38"/>
    <x v="0"/>
    <n v="34980"/>
    <x v="1"/>
    <n v="5.5506849315068489"/>
  </r>
  <r>
    <s v="Beverie Moffet"/>
    <x v="1"/>
    <n v="28"/>
    <x v="0"/>
    <x v="106"/>
    <x v="3"/>
    <n v="75970"/>
    <x v="1"/>
    <n v="5.1068493150684935"/>
  </r>
  <r>
    <s v="Jehu Rudeforth"/>
    <x v="1"/>
    <n v="34"/>
    <x v="0"/>
    <x v="107"/>
    <x v="3"/>
    <n v="60130"/>
    <x v="1"/>
    <n v="3.9369863013698629"/>
  </r>
  <r>
    <s v="Camilla Castle"/>
    <x v="1"/>
    <n v="33"/>
    <x v="4"/>
    <x v="108"/>
    <x v="0"/>
    <n v="75480"/>
    <x v="1"/>
    <n v="4.5890410958904111"/>
  </r>
  <r>
    <s v="Roddy Speechley"/>
    <x v="0"/>
    <n v="33"/>
    <x v="0"/>
    <x v="30"/>
    <x v="1"/>
    <n v="115920"/>
    <x v="1"/>
    <n v="5.1643835616438354"/>
  </r>
  <r>
    <s v="Gray Seamon"/>
    <x v="1"/>
    <n v="36"/>
    <x v="0"/>
    <x v="109"/>
    <x v="4"/>
    <n v="78540"/>
    <x v="1"/>
    <n v="4.2602739726027394"/>
  </r>
  <r>
    <s v="Madelene Upcott"/>
    <x v="0"/>
    <n v="25"/>
    <x v="1"/>
    <x v="110"/>
    <x v="1"/>
    <n v="109190"/>
    <x v="1"/>
    <n v="3.6246575342465754"/>
  </r>
  <r>
    <s v="Violante Courtonne"/>
    <x v="1"/>
    <n v="34"/>
    <x v="2"/>
    <x v="111"/>
    <x v="4"/>
    <n v="49630"/>
    <x v="1"/>
    <n v="3.6383561643835618"/>
  </r>
  <r>
    <s v="Bernie Gorges"/>
    <x v="1"/>
    <n v="28"/>
    <x v="0"/>
    <x v="112"/>
    <x v="1"/>
    <n v="99970"/>
    <x v="1"/>
    <n v="3.8876712328767122"/>
  </r>
  <r>
    <s v="Torrance Collier"/>
    <x v="1"/>
    <n v="33"/>
    <x v="0"/>
    <x v="113"/>
    <x v="0"/>
    <n v="96140"/>
    <x v="1"/>
    <n v="5.0931506849315067"/>
  </r>
  <r>
    <s v="Dyna Doucette"/>
    <x v="0"/>
    <n v="31"/>
    <x v="0"/>
    <x v="114"/>
    <x v="1"/>
    <n v="103550"/>
    <x v="1"/>
    <n v="3.6301369863013697"/>
  </r>
  <r>
    <s v="Gunar Cockshoot"/>
    <x v="0"/>
    <n v="31"/>
    <x v="0"/>
    <x v="115"/>
    <x v="0"/>
    <n v="48950"/>
    <x v="1"/>
    <n v="4.2136986301369861"/>
  </r>
  <r>
    <s v="Kaye Crocroft"/>
    <x v="0"/>
    <n v="24"/>
    <x v="2"/>
    <x v="116"/>
    <x v="3"/>
    <n v="52610"/>
    <x v="1"/>
    <n v="4.419178082191781"/>
  </r>
  <r>
    <s v="Allene Gobbet"/>
    <x v="1"/>
    <n v="36"/>
    <x v="0"/>
    <x v="117"/>
    <x v="1"/>
    <n v="78390"/>
    <x v="1"/>
    <n v="4.1643835616438354"/>
  </r>
  <r>
    <s v="Sibyl Dunkirk"/>
    <x v="1"/>
    <n v="33"/>
    <x v="0"/>
    <x v="118"/>
    <x v="3"/>
    <n v="86570"/>
    <x v="1"/>
    <n v="3.3972602739726026"/>
  </r>
  <r>
    <s v="Agnes Collicott"/>
    <x v="1"/>
    <n v="27"/>
    <x v="0"/>
    <x v="119"/>
    <x v="0"/>
    <n v="83750"/>
    <x v="1"/>
    <n v="3.7342465753424658"/>
  </r>
  <r>
    <s v="Leilah Yesinin"/>
    <x v="1"/>
    <n v="34"/>
    <x v="0"/>
    <x v="120"/>
    <x v="3"/>
    <n v="92450"/>
    <x v="1"/>
    <n v="4.3945205479452056"/>
  </r>
  <r>
    <s v="Mollie Hanway"/>
    <x v="0"/>
    <n v="20"/>
    <x v="0"/>
    <x v="121"/>
    <x v="0"/>
    <n v="112650"/>
    <x v="1"/>
    <n v="5.1123287671232873"/>
  </r>
  <r>
    <s v="Kellsie Waby"/>
    <x v="0"/>
    <n v="20"/>
    <x v="0"/>
    <x v="122"/>
    <x v="1"/>
    <n v="79570"/>
    <x v="1"/>
    <n v="3.5753424657534247"/>
  </r>
  <r>
    <s v="Hyacinthie Braybrooke"/>
    <x v="1"/>
    <n v="20"/>
    <x v="2"/>
    <x v="123"/>
    <x v="4"/>
    <n v="68900"/>
    <x v="1"/>
    <n v="4.1424657534246574"/>
  </r>
  <r>
    <s v="Van Tuxwell"/>
    <x v="1"/>
    <n v="25"/>
    <x v="1"/>
    <x v="124"/>
    <x v="0"/>
    <n v="80700"/>
    <x v="1"/>
    <n v="3.7123287671232879"/>
  </r>
  <r>
    <s v="Lilyan Klimpt"/>
    <x v="0"/>
    <n v="19"/>
    <x v="0"/>
    <x v="21"/>
    <x v="1"/>
    <n v="58960"/>
    <x v="1"/>
    <n v="4.8547945205479452"/>
  </r>
  <r>
    <s v="Tawnya Tickel"/>
    <x v="0"/>
    <n v="36"/>
    <x v="0"/>
    <x v="125"/>
    <x v="0"/>
    <n v="118840"/>
    <x v="1"/>
    <n v="5.5616438356164384"/>
  </r>
  <r>
    <s v="Jan Morforth"/>
    <x v="0"/>
    <n v="28"/>
    <x v="1"/>
    <x v="126"/>
    <x v="3"/>
    <n v="48170"/>
    <x v="1"/>
    <n v="5.5013698630136982"/>
  </r>
  <r>
    <s v="Florinda Crace"/>
    <x v="1"/>
    <n v="32"/>
    <x v="0"/>
    <x v="127"/>
    <x v="2"/>
    <n v="45510"/>
    <x v="1"/>
    <n v="4.5178082191780824"/>
  </r>
  <r>
    <s v="Tracy Renad"/>
    <x v="1"/>
    <n v="36"/>
    <x v="0"/>
    <x v="4"/>
    <x v="1"/>
    <n v="114890"/>
    <x v="1"/>
    <n v="5.3808219178082188"/>
  </r>
  <r>
    <s v="Myer McCory"/>
    <x v="0"/>
    <n v="30"/>
    <x v="0"/>
    <x v="128"/>
    <x v="0"/>
    <n v="69710"/>
    <x v="1"/>
    <n v="3.2849315068493152"/>
  </r>
  <r>
    <s v="Bennie Pepis"/>
    <x v="0"/>
    <n v="36"/>
    <x v="0"/>
    <x v="129"/>
    <x v="3"/>
    <n v="71380"/>
    <x v="1"/>
    <n v="4.7013698630136984"/>
  </r>
  <r>
    <s v="Rafaelita Blaksland"/>
    <x v="1"/>
    <n v="38"/>
    <x v="3"/>
    <x v="130"/>
    <x v="4"/>
    <n v="109160"/>
    <x v="1"/>
    <n v="4.580821917808219"/>
  </r>
  <r>
    <s v="Mahalia Larcher"/>
    <x v="0"/>
    <n v="27"/>
    <x v="4"/>
    <x v="131"/>
    <x v="1"/>
    <n v="113280"/>
    <x v="1"/>
    <n v="3.9452054794520546"/>
  </r>
  <r>
    <s v="Andria Kimpton"/>
    <x v="0"/>
    <n v="30"/>
    <x v="0"/>
    <x v="132"/>
    <x v="0"/>
    <n v="69120"/>
    <x v="1"/>
    <n v="4.8657534246575347"/>
  </r>
  <r>
    <s v="Valentia Etteridge"/>
    <x v="1"/>
    <n v="37"/>
    <x v="0"/>
    <x v="133"/>
    <x v="2"/>
    <n v="118100"/>
    <x v="1"/>
    <n v="4.3780821917808215"/>
  </r>
  <r>
    <s v="Virginia McConville"/>
    <x v="1"/>
    <n v="22"/>
    <x v="1"/>
    <x v="57"/>
    <x v="1"/>
    <n v="76900"/>
    <x v="1"/>
    <n v="4.3808219178082188"/>
  </r>
  <r>
    <s v="Wilone O'Kielt"/>
    <x v="1"/>
    <n v="43"/>
    <x v="0"/>
    <x v="134"/>
    <x v="0"/>
    <n v="114870"/>
    <x v="1"/>
    <n v="2.7506849315068491"/>
  </r>
  <r>
    <s v="Madge McCloughen"/>
    <x v="2"/>
    <n v="32"/>
    <x v="0"/>
    <x v="135"/>
    <x v="0"/>
    <n v="91310"/>
    <x v="1"/>
    <n v="3.493150684931507"/>
  </r>
  <r>
    <s v="Janene Hairsine"/>
    <x v="1"/>
    <n v="28"/>
    <x v="0"/>
    <x v="136"/>
    <x v="1"/>
    <n v="104770"/>
    <x v="1"/>
    <n v="4.2821917808219174"/>
  </r>
  <r>
    <s v="Alta Kaszper"/>
    <x v="0"/>
    <n v="27"/>
    <x v="0"/>
    <x v="137"/>
    <x v="4"/>
    <n v="54970"/>
    <x v="1"/>
    <n v="5.2465753424657535"/>
  </r>
  <r>
    <s v="Dennison Crosswaite"/>
    <x v="2"/>
    <n v="26"/>
    <x v="1"/>
    <x v="138"/>
    <x v="0"/>
    <n v="90700"/>
    <x v="1"/>
    <n v="4.8712328767123285"/>
  </r>
  <r>
    <s v="Oran Buxcy"/>
    <x v="1"/>
    <n v="38"/>
    <x v="1"/>
    <x v="139"/>
    <x v="4"/>
    <n v="56870"/>
    <x v="1"/>
    <n v="4.7123287671232879"/>
  </r>
  <r>
    <s v="Hinda Label"/>
    <x v="1"/>
    <n v="25"/>
    <x v="0"/>
    <x v="140"/>
    <x v="4"/>
    <n v="92700"/>
    <x v="1"/>
    <n v="5.0520547945205481"/>
  </r>
  <r>
    <s v="Marney O'Breen"/>
    <x v="1"/>
    <n v="21"/>
    <x v="0"/>
    <x v="141"/>
    <x v="3"/>
    <n v="65920"/>
    <x v="1"/>
    <n v="4.7452054794520544"/>
  </r>
  <r>
    <s v="Dell Molloy"/>
    <x v="0"/>
    <n v="26"/>
    <x v="0"/>
    <x v="142"/>
    <x v="1"/>
    <n v="47360"/>
    <x v="1"/>
    <n v="4.9972602739726026"/>
  </r>
  <r>
    <s v="Mallorie Waber"/>
    <x v="0"/>
    <n v="30"/>
    <x v="0"/>
    <x v="24"/>
    <x v="1"/>
    <n v="60570"/>
    <x v="1"/>
    <n v="3.7890410958904108"/>
  </r>
  <r>
    <s v="Cherlyn Barter"/>
    <x v="1"/>
    <n v="28"/>
    <x v="0"/>
    <x v="143"/>
    <x v="1"/>
    <n v="104120"/>
    <x v="1"/>
    <n v="3.8356164383561642"/>
  </r>
  <r>
    <s v="Ches Bonnell"/>
    <x v="0"/>
    <n v="37"/>
    <x v="2"/>
    <x v="144"/>
    <x v="0"/>
    <n v="88050"/>
    <x v="1"/>
    <n v="4.6876712328767125"/>
  </r>
  <r>
    <s v="Collin Jagson"/>
    <x v="0"/>
    <n v="24"/>
    <x v="0"/>
    <x v="119"/>
    <x v="0"/>
    <n v="100420"/>
    <x v="1"/>
    <n v="3.7342465753424658"/>
  </r>
  <r>
    <s v="Hogan Iles"/>
    <x v="1"/>
    <n v="30"/>
    <x v="0"/>
    <x v="128"/>
    <x v="1"/>
    <n v="114180"/>
    <x v="1"/>
    <n v="3.2849315068493152"/>
  </r>
  <r>
    <s v="Gretchen Callow"/>
    <x v="1"/>
    <n v="21"/>
    <x v="0"/>
    <x v="145"/>
    <x v="0"/>
    <n v="33920"/>
    <x v="1"/>
    <n v="3.7561643835616438"/>
  </r>
  <r>
    <s v="Kissiah Maydway"/>
    <x v="0"/>
    <n v="23"/>
    <x v="0"/>
    <x v="146"/>
    <x v="1"/>
    <n v="106460"/>
    <x v="1"/>
    <n v="4.4082191780821915"/>
  </r>
  <r>
    <s v="Archibald Filliskirk"/>
    <x v="0"/>
    <n v="35"/>
    <x v="0"/>
    <x v="147"/>
    <x v="1"/>
    <n v="40400"/>
    <x v="1"/>
    <n v="3.6219178082191781"/>
  </r>
  <r>
    <s v="Enoch Dowrey"/>
    <x v="0"/>
    <n v="27"/>
    <x v="1"/>
    <x v="148"/>
    <x v="3"/>
    <n v="91650"/>
    <x v="1"/>
    <n v="4.9671232876712326"/>
  </r>
  <r>
    <s v="Bili Sizey"/>
    <x v="0"/>
    <n v="43"/>
    <x v="0"/>
    <x v="149"/>
    <x v="4"/>
    <n v="36040"/>
    <x v="1"/>
    <n v="3.9150684931506849"/>
  </r>
  <r>
    <s v="Caro Chappel"/>
    <x v="1"/>
    <n v="40"/>
    <x v="0"/>
    <x v="150"/>
    <x v="0"/>
    <n v="104410"/>
    <x v="1"/>
    <n v="4.5698630136986305"/>
  </r>
  <r>
    <s v="Constantino Espley"/>
    <x v="0"/>
    <n v="30"/>
    <x v="0"/>
    <x v="151"/>
    <x v="3"/>
    <n v="96800"/>
    <x v="1"/>
    <n v="3.9534246575342467"/>
  </r>
  <r>
    <s v="Karlen McCaffrey"/>
    <x v="1"/>
    <n v="34"/>
    <x v="0"/>
    <x v="94"/>
    <x v="3"/>
    <n v="85000"/>
    <x v="1"/>
    <n v="4.3561643835616435"/>
  </r>
  <r>
    <s v="Drusy MacCombe"/>
    <x v="0"/>
    <n v="28"/>
    <x v="4"/>
    <x v="152"/>
    <x v="4"/>
    <n v="43510"/>
    <x v="1"/>
    <n v="3.3671232876712329"/>
  </r>
  <r>
    <s v="My Hanscome"/>
    <x v="0"/>
    <n v="33"/>
    <x v="0"/>
    <x v="153"/>
    <x v="3"/>
    <n v="59430"/>
    <x v="1"/>
    <n v="4.9479452054794519"/>
  </r>
  <r>
    <s v="Teressa Udden"/>
    <x v="1"/>
    <n v="33"/>
    <x v="0"/>
    <x v="154"/>
    <x v="3"/>
    <n v="65360"/>
    <x v="1"/>
    <n v="5.4301369863013695"/>
  </r>
  <r>
    <s v="Crissie Cordel"/>
    <x v="1"/>
    <n v="32"/>
    <x v="0"/>
    <x v="155"/>
    <x v="1"/>
    <n v="41570"/>
    <x v="1"/>
    <n v="3.9397260273972603"/>
  </r>
  <r>
    <s v="Elia Cockton"/>
    <x v="1"/>
    <n v="33"/>
    <x v="0"/>
    <x v="156"/>
    <x v="0"/>
    <n v="75280"/>
    <x v="1"/>
    <n v="4.7589041095890412"/>
  </r>
  <r>
    <s v="Gigi Bohling"/>
    <x v="0"/>
    <n v="33"/>
    <x v="0"/>
    <x v="157"/>
    <x v="4"/>
    <n v="74550"/>
    <x v="1"/>
    <n v="4.558904109589041"/>
  </r>
  <r>
    <s v="Ebonee Roxburgh"/>
    <x v="0"/>
    <n v="30"/>
    <x v="0"/>
    <x v="47"/>
    <x v="1"/>
    <n v="67950"/>
    <x v="1"/>
    <n v="3.6931506849315068"/>
  </r>
  <r>
    <s v="Shayne Stegel"/>
    <x v="0"/>
    <n v="42"/>
    <x v="2"/>
    <x v="158"/>
    <x v="3"/>
    <n v="70270"/>
    <x v="1"/>
    <n v="3.6109589041095891"/>
  </r>
  <r>
    <s v="Zach Polon"/>
    <x v="0"/>
    <n v="26"/>
    <x v="0"/>
    <x v="159"/>
    <x v="1"/>
    <n v="53540"/>
    <x v="1"/>
    <n v="4.4876712328767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C8" firstHeaderRow="1" firstDataRow="2" firstDataCol="1"/>
  <pivotFields count="9">
    <pivotField dataField="1" showAll="0"/>
    <pivotField axis="axisCol" showAll="0">
      <items count="4">
        <item x="1"/>
        <item x="0"/>
        <item h="1" x="2"/>
        <item t="default"/>
      </items>
    </pivotField>
    <pivotField dataField="1" showAll="0"/>
    <pivotField showAll="0"/>
    <pivotField numFmtId="14" showAll="0"/>
    <pivotField showAll="0"/>
    <pivotField dataField="1" numFmtId="8" showAll="0"/>
    <pivotField showAll="0">
      <items count="3">
        <item x="0"/>
        <item x="1"/>
        <item t="default"/>
      </items>
    </pivotField>
    <pivotField dataField="1" numFmtId="2" showAll="0"/>
  </pivotFields>
  <rowFields count="1">
    <field x="-2"/>
  </rowFields>
  <rowItems count="4">
    <i>
      <x/>
    </i>
    <i i="1">
      <x v="1"/>
    </i>
    <i i="2">
      <x v="2"/>
    </i>
    <i i="3">
      <x v="3"/>
    </i>
  </rowItems>
  <colFields count="1">
    <field x="1"/>
  </colFields>
  <colItems count="2">
    <i>
      <x/>
    </i>
    <i>
      <x v="1"/>
    </i>
  </colItems>
  <dataFields count="4">
    <dataField name="Count of Name" fld="0" subtotal="count" baseField="0" baseItem="0"/>
    <dataField name="Average of Age" fld="2" subtotal="average" baseField="1" baseItem="0" numFmtId="165"/>
    <dataField name="Average of Salary" fld="6" subtotal="average" baseField="1" baseItem="0" numFmtId="166"/>
    <dataField name="Average of Tenure" fld="8"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0" firstDataRow="1" firstDataCol="1"/>
  <pivotFields count="9">
    <pivotField dataField="1" showAll="0"/>
    <pivotField showAll="0"/>
    <pivotField showAll="0"/>
    <pivotField axis="axisRow" showAll="0">
      <items count="6">
        <item x="3"/>
        <item x="1"/>
        <item x="0"/>
        <item x="2"/>
        <item x="4"/>
        <item t="default"/>
      </items>
    </pivotField>
    <pivotField numFmtId="14" showAll="0"/>
    <pivotField showAll="0"/>
    <pivotField dataField="1" numFmtId="8" showAll="0"/>
    <pivotField showAll="0"/>
    <pivotField numFmtId="2" showAll="0"/>
  </pivotFields>
  <rowFields count="1">
    <field x="3"/>
  </rowFields>
  <rowItems count="6">
    <i>
      <x/>
    </i>
    <i>
      <x v="1"/>
    </i>
    <i>
      <x v="2"/>
    </i>
    <i>
      <x v="3"/>
    </i>
    <i>
      <x v="4"/>
    </i>
    <i t="grand">
      <x/>
    </i>
  </rowItems>
  <colFields count="1">
    <field x="-2"/>
  </colFields>
  <colItems count="2">
    <i>
      <x/>
    </i>
    <i i="1">
      <x v="1"/>
    </i>
  </colItems>
  <dataFields count="2">
    <dataField name="Count of Name" fld="0" subtotal="count" baseField="0" baseItem="0"/>
    <dataField name="Average of Salary" fld="6" subtotal="average" baseField="3" baseItem="0" numFmtId="1"/>
  </dataFields>
  <formats count="1">
    <format dxfId="0">
      <pivotArea collapsedLevelsAreSubtotals="1" fieldPosition="0">
        <references count="2">
          <reference field="4294967294" count="1" selected="0">
            <x v="1"/>
          </reference>
          <reference field="3" count="0"/>
        </references>
      </pivotArea>
    </format>
  </formats>
  <conditionalFormats count="1">
    <conditionalFormat priority="1">
      <pivotAreas count="1">
        <pivotArea type="data" collapsedLevelsAreSubtotals="1" fieldPosition="0">
          <references count="2">
            <reference field="4294967294" count="1" selected="0">
              <x v="1"/>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0">
  <location ref="A3:B40"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axis="axisRow" allDrilled="1" showAll="0" dataSourceSort="1">
      <items count="5">
        <item x="0"/>
        <item x="1"/>
        <item x="2"/>
        <item x="3"/>
        <item t="default"/>
      </items>
    </pivotField>
    <pivotField dataField="1" showAll="0"/>
  </pivotFields>
  <rowFields count="2">
    <field x="1"/>
    <field x="0"/>
  </rowFields>
  <rowItems count="37">
    <i>
      <x/>
    </i>
    <i r="1">
      <x/>
    </i>
    <i r="1">
      <x v="1"/>
    </i>
    <i r="1">
      <x v="2"/>
    </i>
    <i r="1">
      <x v="3"/>
    </i>
    <i r="1">
      <x v="4"/>
    </i>
    <i r="1">
      <x v="5"/>
    </i>
    <i r="1">
      <x v="6"/>
    </i>
    <i r="1">
      <x v="7"/>
    </i>
    <i>
      <x v="1"/>
    </i>
    <i r="1">
      <x v="8"/>
    </i>
    <i r="1">
      <x v="9"/>
    </i>
    <i r="1">
      <x v="10"/>
    </i>
    <i r="1">
      <x v="11"/>
    </i>
    <i r="1">
      <x/>
    </i>
    <i r="1">
      <x v="1"/>
    </i>
    <i r="1">
      <x v="2"/>
    </i>
    <i r="1">
      <x v="3"/>
    </i>
    <i r="1">
      <x v="4"/>
    </i>
    <i r="1">
      <x v="5"/>
    </i>
    <i r="1">
      <x v="6"/>
    </i>
    <i r="1">
      <x v="7"/>
    </i>
    <i>
      <x v="2"/>
    </i>
    <i r="1">
      <x v="8"/>
    </i>
    <i r="1">
      <x v="9"/>
    </i>
    <i r="1">
      <x v="10"/>
    </i>
    <i r="1">
      <x v="11"/>
    </i>
    <i r="1">
      <x/>
    </i>
    <i r="1">
      <x v="1"/>
    </i>
    <i r="1">
      <x v="2"/>
    </i>
    <i r="1">
      <x v="3"/>
    </i>
    <i r="1">
      <x v="4"/>
    </i>
    <i r="1">
      <x v="5"/>
    </i>
    <i>
      <x v="3"/>
    </i>
    <i r="1">
      <x v="9"/>
    </i>
    <i r="1">
      <x v="11"/>
    </i>
    <i t="grand">
      <x/>
    </i>
  </rowItems>
  <colItems count="1">
    <i/>
  </colItems>
  <dataFields count="1">
    <dataField name="Running Total" fld="2" subtotal="count" showDataAs="runTotal" baseField="0" baseItem="0"/>
  </dataFields>
  <chartFormats count="1">
    <chartFormat chart="9" format="1"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unning Total"/>
  </pivotHierarchies>
  <pivotTableStyleInfo name="PivotStyleLight16" showRowHeaders="1" showColHeaders="1" showRowStripes="0" showColStripes="0" showLastColumn="1"/>
  <rowHierarchiesUsage count="2">
    <rowHierarchyUsage hierarchyUsage="10"/>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amp; Visualization-1.xlsx!Combined_table">
        <x15:activeTabTopLevelEntity name="[Combined_table]"/>
      </x15:pivotTableUISettings>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3:H9" firstHeaderRow="1" firstDataRow="1" firstDataCol="1" rowPageCount="1" colPageCount="1"/>
  <pivotFields count="9">
    <pivotField dataField="1" showAll="0"/>
    <pivotField showAll="0"/>
    <pivotField showAll="0"/>
    <pivotField showAll="0"/>
    <pivotField numFmtId="14" showAll="0"/>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numFmtId="8" showAll="0"/>
    <pivotField axis="axisPage" showAll="0">
      <items count="3">
        <item x="0"/>
        <item x="1"/>
        <item t="default"/>
      </items>
    </pivotField>
    <pivotField numFmtId="2" showAll="0"/>
  </pivotFields>
  <rowFields count="1">
    <field x="5"/>
  </rowFields>
  <rowItems count="6">
    <i>
      <x v="4"/>
    </i>
    <i>
      <x v="2"/>
    </i>
    <i>
      <x/>
    </i>
    <i>
      <x v="3"/>
    </i>
    <i>
      <x v="1"/>
    </i>
    <i t="grand">
      <x/>
    </i>
  </rowItems>
  <colItems count="1">
    <i/>
  </colItems>
  <pageFields count="1">
    <pageField fld="7" item="1" hier="-1"/>
  </pageFields>
  <dataFields count="1">
    <dataField name="Count of Name"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9" firstHeaderRow="1" firstDataRow="1" firstDataCol="1" rowPageCount="1" colPageCount="1"/>
  <pivotFields count="9">
    <pivotField dataField="1" showAll="0"/>
    <pivotField showAll="0"/>
    <pivotField showAll="0"/>
    <pivotField showAll="0"/>
    <pivotField numFmtId="14" showAll="0"/>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numFmtId="8" showAll="0"/>
    <pivotField axis="axisPage" showAll="0">
      <items count="3">
        <item x="0"/>
        <item x="1"/>
        <item t="default"/>
      </items>
    </pivotField>
    <pivotField numFmtId="2" showAll="0"/>
  </pivotFields>
  <rowFields count="1">
    <field x="5"/>
  </rowFields>
  <rowItems count="6">
    <i>
      <x v="2"/>
    </i>
    <i>
      <x v="4"/>
    </i>
    <i>
      <x/>
    </i>
    <i>
      <x v="3"/>
    </i>
    <i>
      <x v="1"/>
    </i>
    <i t="grand">
      <x/>
    </i>
  </rowItems>
  <colItems count="1">
    <i/>
  </colItems>
  <pageFields count="1">
    <pageField fld="7" item="0" hier="-1"/>
  </pageFields>
  <dataFields count="1">
    <dataField name="Count of Name" fld="0" subtotal="count" baseField="0" baseItem="0"/>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3" unboundColumnsRight="2">
    <queryTableFields count="10">
      <queryTableField id="1" name="Name" tableColumnId="27"/>
      <queryTableField id="2" name="Gender" tableColumnId="28"/>
      <queryTableField id="3" name="Age" tableColumnId="29"/>
      <queryTableField id="4" name="Rating" tableColumnId="30"/>
      <queryTableField id="5" name="Date Joined" tableColumnId="31"/>
      <queryTableField id="6" name="Department" tableColumnId="32"/>
      <queryTableField id="7" name="Salary" tableColumnId="33"/>
      <queryTableField id="8" name="Country" tableColumnId="34"/>
      <queryTableField id="9" dataBound="0" tableColumnId="35"/>
      <queryTableField id="12"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4"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Light6"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nz_table" displayName="nz_table" ref="B8:H109" totalsRowCount="1">
  <autoFilter ref="B8:H108"/>
  <tableColumns count="7">
    <tableColumn id="1" name="Name" totalsRowLabel="Total"/>
    <tableColumn id="2" name="Gender"/>
    <tableColumn id="3" name="Department"/>
    <tableColumn id="4" name="Age" totalsRowFunction="average"/>
    <tableColumn id="5" name="Date Joined"/>
    <tableColumn id="6" name="Salary" totalsRowFunction="average" dataDxfId="19" totalsRowDxfId="18"/>
    <tableColumn id="7" name="Rating" totalsRowFunction="count"/>
  </tableColumns>
  <tableStyleInfo name="TableStyleMedium3" showFirstColumn="0" showLastColumn="0" showRowStripes="1" showColumnStripes="0"/>
</table>
</file>

<file path=xl/tables/table2.xml><?xml version="1.0" encoding="utf-8"?>
<table xmlns="http://schemas.openxmlformats.org/spreadsheetml/2006/main" id="1" name="India_table" displayName="India_table" ref="B7:H119" totalsRowShown="0">
  <autoFilter ref="B7:H119"/>
  <tableColumns count="7">
    <tableColumn id="1" name="Name"/>
    <tableColumn id="2" name="Gender"/>
    <tableColumn id="3" name="Age"/>
    <tableColumn id="4" name="Rating"/>
    <tableColumn id="5" name="Date Joined" dataDxfId="17"/>
    <tableColumn id="6" name="Department"/>
    <tableColumn id="7" name="Salary"/>
  </tableColumns>
  <tableStyleInfo name="TableStyleMedium2" showFirstColumn="0" showLastColumn="0" showRowStripes="1" showColumnStripes="0"/>
</table>
</file>

<file path=xl/tables/table3.xml><?xml version="1.0" encoding="utf-8"?>
<table xmlns="http://schemas.openxmlformats.org/spreadsheetml/2006/main" id="3" name="Combined_table" displayName="Combined_table" ref="B4:K187" tableType="queryTable">
  <autoFilter ref="B4:K187"/>
  <sortState ref="B5:J187">
    <sortCondition ref="H4:H187"/>
  </sortState>
  <tableColumns count="10">
    <tableColumn id="27" uniqueName="27" name="Name" totalsRowLabel="Total" queryTableFieldId="1" dataDxfId="16"/>
    <tableColumn id="28" uniqueName="28" name="Gender" queryTableFieldId="2" dataDxfId="15"/>
    <tableColumn id="29" uniqueName="29" name="Age" queryTableFieldId="3" dataDxfId="14"/>
    <tableColumn id="30" uniqueName="30" name="Rating" queryTableFieldId="4" dataDxfId="13"/>
    <tableColumn id="31" uniqueName="31" name="Date Joined" queryTableFieldId="5" dataDxfId="12"/>
    <tableColumn id="32" uniqueName="32" name="Department" queryTableFieldId="6" dataDxfId="11"/>
    <tableColumn id="33" uniqueName="33" name="Salary" totalsRowFunction="average" queryTableFieldId="7" dataDxfId="10" totalsRowDxfId="9"/>
    <tableColumn id="34" uniqueName="34" name="Country" queryTableFieldId="8" dataDxfId="8"/>
    <tableColumn id="35" uniqueName="35" name="Tenure" totalsRowFunction="sum" queryTableFieldId="9" dataDxfId="7" totalsRowDxfId="6">
      <calculatedColumnFormula>(TODAY()-Combined_table[[#This Row],[Date Joined]])/365</calculatedColumnFormula>
    </tableColumn>
    <tableColumn id="1" uniqueName="1" name="Rating as number" queryTableFieldId="12" dataDxfId="5">
      <calculatedColumnFormula>IF(Combined_table[[#This Row],[Rating]]="Exceptional",5,
IF(Combined_table[[#This Row],[Rating]]="Above Average",4,
IF(Combined_table[[#This Row],[Rating]]="Average",3,
IF(Combined_table[[#This Row],[Rating]]="Poor",2,
IF(Combined_table[[#This Row],[Rating]]="Very Poor",1,"")))))</calculatedColumnFormula>
    </tableColumn>
  </tableColumns>
  <tableStyleInfo name="TableStyleMedium7" showFirstColumn="0" showLastColumn="0" showRowStripes="1" showColumnStripes="0"/>
</table>
</file>

<file path=xl/tables/table4.xml><?xml version="1.0" encoding="utf-8"?>
<table xmlns="http://schemas.openxmlformats.org/spreadsheetml/2006/main" id="4" name="Table4" displayName="Table4" ref="F17:O200" totalsRowShown="0">
  <autoFilter ref="F17:O200"/>
  <tableColumns count="10">
    <tableColumn id="1" name="Name"/>
    <tableColumn id="2" name="Gender"/>
    <tableColumn id="3" name="Age"/>
    <tableColumn id="4" name="Rating"/>
    <tableColumn id="5" name="Date Joined" dataDxfId="4"/>
    <tableColumn id="6" name="Department"/>
    <tableColumn id="7" name="Salary" dataDxfId="3"/>
    <tableColumn id="8" name="Country"/>
    <tableColumn id="9" name="Tenure" dataDxfId="2">
      <calculatedColumnFormula>(TODAY()-Table4[[#This Row],[Date Joined]])/365</calculatedColumnFormula>
    </tableColumn>
    <tableColumn id="10" name="Bonus" dataDxfId="1">
      <calculatedColumnFormula>IF(Table4[[#This Row],[Tenure]]&gt;3,3%,2%)*Table4[[#This Row],[Salary]]</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9"/>
  <sheetViews>
    <sheetView workbookViewId="0">
      <selection activeCell="F122" sqref="F122"/>
    </sheetView>
  </sheetViews>
  <sheetFormatPr defaultRowHeight="14.4" x14ac:dyDescent="0.3"/>
  <cols>
    <col min="2" max="2" width="19.6640625" bestFit="1" customWidth="1"/>
    <col min="3" max="3" width="9.33203125" bestFit="1" customWidth="1"/>
    <col min="4" max="4" width="13.33203125" bestFit="1" customWidth="1"/>
    <col min="5" max="5" width="6.44140625" bestFit="1" customWidth="1"/>
    <col min="6" max="6" width="13" bestFit="1" customWidth="1"/>
    <col min="7" max="7" width="11.88671875" bestFit="1" customWidth="1"/>
    <col min="8" max="8" width="13.109375" bestFit="1" customWidth="1"/>
    <col min="14" max="14" width="11.88671875" bestFit="1" customWidth="1"/>
  </cols>
  <sheetData>
    <row r="1" spans="1:8" s="46" customFormat="1" x14ac:dyDescent="0.3">
      <c r="A1" s="45" t="s">
        <v>112</v>
      </c>
    </row>
    <row r="2" spans="1:8" s="46" customFormat="1" x14ac:dyDescent="0.3"/>
    <row r="3" spans="1:8" s="46" customFormat="1" x14ac:dyDescent="0.3"/>
    <row r="4" spans="1:8" s="46" customFormat="1" x14ac:dyDescent="0.3"/>
    <row r="8" spans="1:8" x14ac:dyDescent="0.3">
      <c r="B8" t="s">
        <v>1</v>
      </c>
      <c r="C8" t="s">
        <v>2</v>
      </c>
      <c r="D8" t="s">
        <v>6</v>
      </c>
      <c r="E8" t="s">
        <v>3</v>
      </c>
      <c r="F8" s="1" t="s">
        <v>5</v>
      </c>
      <c r="G8" s="2" t="s">
        <v>7</v>
      </c>
      <c r="H8" t="s">
        <v>4</v>
      </c>
    </row>
    <row r="9" spans="1:8" x14ac:dyDescent="0.3">
      <c r="B9" t="s">
        <v>113</v>
      </c>
      <c r="C9" t="s">
        <v>9</v>
      </c>
      <c r="D9" t="s">
        <v>23</v>
      </c>
      <c r="E9">
        <v>22</v>
      </c>
      <c r="F9" s="1">
        <v>44446</v>
      </c>
      <c r="G9" s="4">
        <v>112780</v>
      </c>
      <c r="H9" t="s">
        <v>14</v>
      </c>
    </row>
    <row r="10" spans="1:8" x14ac:dyDescent="0.3">
      <c r="B10" t="s">
        <v>114</v>
      </c>
      <c r="C10" t="s">
        <v>9</v>
      </c>
      <c r="D10" t="s">
        <v>16</v>
      </c>
      <c r="E10">
        <v>46</v>
      </c>
      <c r="F10" s="1">
        <v>44758</v>
      </c>
      <c r="G10" s="4">
        <v>70610</v>
      </c>
      <c r="H10" t="s">
        <v>10</v>
      </c>
    </row>
    <row r="11" spans="1:8" x14ac:dyDescent="0.3">
      <c r="B11" t="s">
        <v>115</v>
      </c>
      <c r="C11" t="s">
        <v>13</v>
      </c>
      <c r="D11" t="s">
        <v>23</v>
      </c>
      <c r="E11">
        <v>28</v>
      </c>
      <c r="F11" s="1">
        <v>44357</v>
      </c>
      <c r="G11" s="4">
        <v>53240</v>
      </c>
      <c r="H11" t="s">
        <v>10</v>
      </c>
    </row>
    <row r="12" spans="1:8" x14ac:dyDescent="0.3">
      <c r="B12" t="s">
        <v>116</v>
      </c>
      <c r="D12" t="s">
        <v>21</v>
      </c>
      <c r="E12">
        <v>37</v>
      </c>
      <c r="F12" s="1">
        <v>44146</v>
      </c>
      <c r="G12" s="4">
        <v>115440</v>
      </c>
      <c r="H12" t="s">
        <v>20</v>
      </c>
    </row>
    <row r="13" spans="1:8" x14ac:dyDescent="0.3">
      <c r="B13" t="s">
        <v>117</v>
      </c>
      <c r="C13" t="s">
        <v>9</v>
      </c>
      <c r="D13" t="s">
        <v>23</v>
      </c>
      <c r="E13">
        <v>32</v>
      </c>
      <c r="F13" s="1">
        <v>44465</v>
      </c>
      <c r="G13" s="4">
        <v>53540</v>
      </c>
      <c r="H13" t="s">
        <v>10</v>
      </c>
    </row>
    <row r="14" spans="1:8" x14ac:dyDescent="0.3">
      <c r="B14" t="s">
        <v>118</v>
      </c>
      <c r="C14" t="s">
        <v>13</v>
      </c>
      <c r="D14" t="s">
        <v>16</v>
      </c>
      <c r="E14">
        <v>30</v>
      </c>
      <c r="F14" s="1">
        <v>44861</v>
      </c>
      <c r="G14" s="4">
        <v>112570</v>
      </c>
      <c r="H14" t="s">
        <v>10</v>
      </c>
    </row>
    <row r="15" spans="1:8" x14ac:dyDescent="0.3">
      <c r="B15" t="s">
        <v>119</v>
      </c>
      <c r="C15" t="s">
        <v>9</v>
      </c>
      <c r="D15" t="s">
        <v>16</v>
      </c>
      <c r="E15">
        <v>33</v>
      </c>
      <c r="F15" s="1">
        <v>44701</v>
      </c>
      <c r="G15" s="4">
        <v>48530</v>
      </c>
      <c r="H15" t="s">
        <v>14</v>
      </c>
    </row>
    <row r="16" spans="1:8" x14ac:dyDescent="0.3">
      <c r="B16" t="s">
        <v>120</v>
      </c>
      <c r="C16" t="s">
        <v>13</v>
      </c>
      <c r="D16" t="s">
        <v>11</v>
      </c>
      <c r="E16">
        <v>24</v>
      </c>
      <c r="F16" s="1">
        <v>44148</v>
      </c>
      <c r="G16" s="4">
        <v>62780</v>
      </c>
      <c r="H16" t="s">
        <v>10</v>
      </c>
    </row>
    <row r="17" spans="2:8" x14ac:dyDescent="0.3">
      <c r="B17" t="s">
        <v>121</v>
      </c>
      <c r="C17" t="s">
        <v>9</v>
      </c>
      <c r="D17" t="s">
        <v>11</v>
      </c>
      <c r="E17">
        <v>33</v>
      </c>
      <c r="F17" s="1">
        <v>44509</v>
      </c>
      <c r="G17" s="4">
        <v>53870</v>
      </c>
      <c r="H17" t="s">
        <v>10</v>
      </c>
    </row>
    <row r="18" spans="2:8" x14ac:dyDescent="0.3">
      <c r="B18" t="s">
        <v>122</v>
      </c>
      <c r="C18" t="s">
        <v>13</v>
      </c>
      <c r="D18" t="s">
        <v>18</v>
      </c>
      <c r="E18">
        <v>27</v>
      </c>
      <c r="F18" s="1">
        <v>44122</v>
      </c>
      <c r="G18" s="4">
        <v>119110</v>
      </c>
      <c r="H18" t="s">
        <v>10</v>
      </c>
    </row>
    <row r="19" spans="2:8" x14ac:dyDescent="0.3">
      <c r="B19" t="s">
        <v>123</v>
      </c>
      <c r="C19" t="s">
        <v>9</v>
      </c>
      <c r="D19" t="s">
        <v>11</v>
      </c>
      <c r="E19">
        <v>29</v>
      </c>
      <c r="F19" s="1">
        <v>44180</v>
      </c>
      <c r="G19" s="4">
        <v>112110</v>
      </c>
      <c r="H19" t="s">
        <v>20</v>
      </c>
    </row>
    <row r="20" spans="2:8" x14ac:dyDescent="0.3">
      <c r="B20" t="s">
        <v>124</v>
      </c>
      <c r="C20" t="s">
        <v>9</v>
      </c>
      <c r="D20" t="s">
        <v>23</v>
      </c>
      <c r="E20">
        <v>25</v>
      </c>
      <c r="F20" s="1">
        <v>44383</v>
      </c>
      <c r="G20" s="4">
        <v>65700</v>
      </c>
      <c r="H20" t="s">
        <v>10</v>
      </c>
    </row>
    <row r="21" spans="2:8" x14ac:dyDescent="0.3">
      <c r="B21" t="s">
        <v>125</v>
      </c>
      <c r="C21" t="s">
        <v>9</v>
      </c>
      <c r="D21" t="s">
        <v>11</v>
      </c>
      <c r="E21">
        <v>37</v>
      </c>
      <c r="F21" s="1">
        <v>44701</v>
      </c>
      <c r="G21" s="4">
        <v>69070</v>
      </c>
      <c r="H21" t="s">
        <v>10</v>
      </c>
    </row>
    <row r="22" spans="2:8" x14ac:dyDescent="0.3">
      <c r="B22" t="s">
        <v>126</v>
      </c>
      <c r="C22" t="s">
        <v>9</v>
      </c>
      <c r="D22" t="s">
        <v>11</v>
      </c>
      <c r="E22">
        <v>20</v>
      </c>
      <c r="F22" s="1">
        <v>44459</v>
      </c>
      <c r="G22" s="4">
        <v>107700</v>
      </c>
      <c r="H22" t="s">
        <v>10</v>
      </c>
    </row>
    <row r="23" spans="2:8" x14ac:dyDescent="0.3">
      <c r="B23" t="s">
        <v>127</v>
      </c>
      <c r="C23" t="s">
        <v>13</v>
      </c>
      <c r="D23" t="s">
        <v>11</v>
      </c>
      <c r="E23">
        <v>32</v>
      </c>
      <c r="F23" s="1">
        <v>44354</v>
      </c>
      <c r="G23" s="4">
        <v>43840</v>
      </c>
      <c r="H23" t="s">
        <v>14</v>
      </c>
    </row>
    <row r="24" spans="2:8" x14ac:dyDescent="0.3">
      <c r="B24" t="s">
        <v>128</v>
      </c>
      <c r="C24" t="s">
        <v>9</v>
      </c>
      <c r="D24" t="s">
        <v>16</v>
      </c>
      <c r="E24">
        <v>40</v>
      </c>
      <c r="F24" s="1">
        <v>44263</v>
      </c>
      <c r="G24" s="4">
        <v>99750</v>
      </c>
      <c r="H24" t="s">
        <v>10</v>
      </c>
    </row>
    <row r="25" spans="2:8" x14ac:dyDescent="0.3">
      <c r="B25" t="s">
        <v>129</v>
      </c>
      <c r="C25" t="s">
        <v>9</v>
      </c>
      <c r="D25" t="s">
        <v>16</v>
      </c>
      <c r="E25">
        <v>21</v>
      </c>
      <c r="F25" s="1">
        <v>44104</v>
      </c>
      <c r="G25" s="4">
        <v>37920</v>
      </c>
      <c r="H25" t="s">
        <v>10</v>
      </c>
    </row>
    <row r="26" spans="2:8" x14ac:dyDescent="0.3">
      <c r="B26" t="s">
        <v>130</v>
      </c>
      <c r="C26" t="s">
        <v>9</v>
      </c>
      <c r="D26" t="s">
        <v>16</v>
      </c>
      <c r="E26">
        <v>21</v>
      </c>
      <c r="F26" s="1">
        <v>44762</v>
      </c>
      <c r="G26" s="4">
        <v>57090</v>
      </c>
      <c r="H26" t="s">
        <v>10</v>
      </c>
    </row>
    <row r="27" spans="2:8" x14ac:dyDescent="0.3">
      <c r="B27" t="s">
        <v>131</v>
      </c>
      <c r="C27" t="s">
        <v>13</v>
      </c>
      <c r="D27" t="s">
        <v>11</v>
      </c>
      <c r="E27">
        <v>31</v>
      </c>
      <c r="F27" s="1">
        <v>44145</v>
      </c>
      <c r="G27" s="4">
        <v>41980</v>
      </c>
      <c r="H27" t="s">
        <v>10</v>
      </c>
    </row>
    <row r="28" spans="2:8" x14ac:dyDescent="0.3">
      <c r="B28" t="s">
        <v>132</v>
      </c>
      <c r="C28" t="s">
        <v>9</v>
      </c>
      <c r="D28" t="s">
        <v>18</v>
      </c>
      <c r="E28">
        <v>21</v>
      </c>
      <c r="F28" s="1">
        <v>44242</v>
      </c>
      <c r="G28" s="4">
        <v>75880</v>
      </c>
      <c r="H28" t="s">
        <v>10</v>
      </c>
    </row>
    <row r="29" spans="2:8" x14ac:dyDescent="0.3">
      <c r="B29" t="s">
        <v>133</v>
      </c>
      <c r="C29" t="s">
        <v>13</v>
      </c>
      <c r="D29" t="s">
        <v>21</v>
      </c>
      <c r="E29">
        <v>34</v>
      </c>
      <c r="F29" s="1">
        <v>44653</v>
      </c>
      <c r="G29" s="4">
        <v>58940</v>
      </c>
      <c r="H29" t="s">
        <v>10</v>
      </c>
    </row>
    <row r="30" spans="2:8" x14ac:dyDescent="0.3">
      <c r="B30" t="s">
        <v>134</v>
      </c>
      <c r="C30" t="s">
        <v>13</v>
      </c>
      <c r="D30" t="s">
        <v>21</v>
      </c>
      <c r="E30">
        <v>30</v>
      </c>
      <c r="F30" s="1">
        <v>44389</v>
      </c>
      <c r="G30" s="4">
        <v>67910</v>
      </c>
      <c r="H30" t="s">
        <v>20</v>
      </c>
    </row>
    <row r="31" spans="2:8" x14ac:dyDescent="0.3">
      <c r="B31" t="s">
        <v>135</v>
      </c>
      <c r="C31" t="s">
        <v>13</v>
      </c>
      <c r="D31" t="s">
        <v>11</v>
      </c>
      <c r="E31">
        <v>31</v>
      </c>
      <c r="F31" s="1">
        <v>44663</v>
      </c>
      <c r="G31" s="4">
        <v>58100</v>
      </c>
      <c r="H31" t="s">
        <v>10</v>
      </c>
    </row>
    <row r="32" spans="2:8" x14ac:dyDescent="0.3">
      <c r="B32" t="s">
        <v>136</v>
      </c>
      <c r="C32" t="s">
        <v>9</v>
      </c>
      <c r="D32" t="s">
        <v>21</v>
      </c>
      <c r="E32">
        <v>27</v>
      </c>
      <c r="F32" s="1">
        <v>44567</v>
      </c>
      <c r="G32" s="4">
        <v>48980</v>
      </c>
      <c r="H32" t="s">
        <v>10</v>
      </c>
    </row>
    <row r="33" spans="2:8" x14ac:dyDescent="0.3">
      <c r="B33" t="s">
        <v>137</v>
      </c>
      <c r="D33" t="s">
        <v>21</v>
      </c>
      <c r="E33">
        <v>30</v>
      </c>
      <c r="F33" s="1">
        <v>44597</v>
      </c>
      <c r="G33" s="4">
        <v>64000</v>
      </c>
      <c r="H33" t="s">
        <v>10</v>
      </c>
    </row>
    <row r="34" spans="2:8" x14ac:dyDescent="0.3">
      <c r="B34" t="s">
        <v>138</v>
      </c>
      <c r="C34" t="s">
        <v>13</v>
      </c>
      <c r="D34" t="s">
        <v>16</v>
      </c>
      <c r="E34">
        <v>42</v>
      </c>
      <c r="F34" s="1">
        <v>44779</v>
      </c>
      <c r="G34" s="4">
        <v>75000</v>
      </c>
      <c r="H34" t="s">
        <v>42</v>
      </c>
    </row>
    <row r="35" spans="2:8" x14ac:dyDescent="0.3">
      <c r="B35" t="s">
        <v>139</v>
      </c>
      <c r="C35" t="s">
        <v>13</v>
      </c>
      <c r="D35" t="s">
        <v>11</v>
      </c>
      <c r="E35">
        <v>40</v>
      </c>
      <c r="F35" s="1">
        <v>44337</v>
      </c>
      <c r="G35" s="4">
        <v>87620</v>
      </c>
      <c r="H35" t="s">
        <v>10</v>
      </c>
    </row>
    <row r="36" spans="2:8" x14ac:dyDescent="0.3">
      <c r="B36" t="s">
        <v>140</v>
      </c>
      <c r="C36" t="s">
        <v>13</v>
      </c>
      <c r="D36" t="s">
        <v>11</v>
      </c>
      <c r="E36">
        <v>29</v>
      </c>
      <c r="F36" s="1">
        <v>44023</v>
      </c>
      <c r="G36" s="4">
        <v>34980</v>
      </c>
      <c r="H36" t="s">
        <v>10</v>
      </c>
    </row>
    <row r="37" spans="2:8" x14ac:dyDescent="0.3">
      <c r="B37" t="s">
        <v>141</v>
      </c>
      <c r="C37" t="s">
        <v>13</v>
      </c>
      <c r="D37" t="s">
        <v>21</v>
      </c>
      <c r="E37">
        <v>28</v>
      </c>
      <c r="F37" s="1">
        <v>44185</v>
      </c>
      <c r="G37" s="4">
        <v>75970</v>
      </c>
      <c r="H37" t="s">
        <v>10</v>
      </c>
    </row>
    <row r="38" spans="2:8" x14ac:dyDescent="0.3">
      <c r="B38" t="s">
        <v>142</v>
      </c>
      <c r="C38" t="s">
        <v>13</v>
      </c>
      <c r="D38" t="s">
        <v>21</v>
      </c>
      <c r="E38">
        <v>34</v>
      </c>
      <c r="F38" s="1">
        <v>44612</v>
      </c>
      <c r="G38" s="4">
        <v>60130</v>
      </c>
      <c r="H38" t="s">
        <v>10</v>
      </c>
    </row>
    <row r="39" spans="2:8" x14ac:dyDescent="0.3">
      <c r="B39" t="s">
        <v>143</v>
      </c>
      <c r="C39" t="s">
        <v>13</v>
      </c>
      <c r="D39" t="s">
        <v>11</v>
      </c>
      <c r="E39">
        <v>33</v>
      </c>
      <c r="F39" s="1">
        <v>44374</v>
      </c>
      <c r="G39" s="4">
        <v>75480</v>
      </c>
      <c r="H39" t="s">
        <v>82</v>
      </c>
    </row>
    <row r="40" spans="2:8" x14ac:dyDescent="0.3">
      <c r="B40" t="s">
        <v>144</v>
      </c>
      <c r="C40" t="s">
        <v>9</v>
      </c>
      <c r="D40" t="s">
        <v>16</v>
      </c>
      <c r="E40">
        <v>33</v>
      </c>
      <c r="F40" s="1">
        <v>44164</v>
      </c>
      <c r="G40" s="4">
        <v>115920</v>
      </c>
      <c r="H40" t="s">
        <v>10</v>
      </c>
    </row>
    <row r="41" spans="2:8" x14ac:dyDescent="0.3">
      <c r="B41" t="s">
        <v>145</v>
      </c>
      <c r="C41" t="s">
        <v>13</v>
      </c>
      <c r="D41" t="s">
        <v>23</v>
      </c>
      <c r="E41">
        <v>36</v>
      </c>
      <c r="F41" s="1">
        <v>44494</v>
      </c>
      <c r="G41" s="4">
        <v>78540</v>
      </c>
      <c r="H41" t="s">
        <v>10</v>
      </c>
    </row>
    <row r="42" spans="2:8" x14ac:dyDescent="0.3">
      <c r="B42" t="s">
        <v>146</v>
      </c>
      <c r="C42" t="s">
        <v>9</v>
      </c>
      <c r="D42" t="s">
        <v>16</v>
      </c>
      <c r="E42">
        <v>25</v>
      </c>
      <c r="F42" s="1">
        <v>44726</v>
      </c>
      <c r="G42" s="4">
        <v>109190</v>
      </c>
      <c r="H42" t="s">
        <v>14</v>
      </c>
    </row>
    <row r="43" spans="2:8" x14ac:dyDescent="0.3">
      <c r="B43" t="s">
        <v>147</v>
      </c>
      <c r="C43" t="s">
        <v>13</v>
      </c>
      <c r="D43" t="s">
        <v>23</v>
      </c>
      <c r="E43">
        <v>34</v>
      </c>
      <c r="F43" s="1">
        <v>44721</v>
      </c>
      <c r="G43" s="4">
        <v>49630</v>
      </c>
      <c r="H43" t="s">
        <v>20</v>
      </c>
    </row>
    <row r="44" spans="2:8" x14ac:dyDescent="0.3">
      <c r="B44" t="s">
        <v>148</v>
      </c>
      <c r="C44" t="s">
        <v>13</v>
      </c>
      <c r="D44" t="s">
        <v>16</v>
      </c>
      <c r="E44">
        <v>28</v>
      </c>
      <c r="F44" s="1">
        <v>44630</v>
      </c>
      <c r="G44" s="4">
        <v>99970</v>
      </c>
      <c r="H44" t="s">
        <v>10</v>
      </c>
    </row>
    <row r="45" spans="2:8" x14ac:dyDescent="0.3">
      <c r="B45" t="s">
        <v>149</v>
      </c>
      <c r="C45" t="s">
        <v>13</v>
      </c>
      <c r="D45" t="s">
        <v>11</v>
      </c>
      <c r="E45">
        <v>33</v>
      </c>
      <c r="F45" s="1">
        <v>44190</v>
      </c>
      <c r="G45" s="4">
        <v>96140</v>
      </c>
      <c r="H45" t="s">
        <v>10</v>
      </c>
    </row>
    <row r="46" spans="2:8" x14ac:dyDescent="0.3">
      <c r="B46" t="s">
        <v>150</v>
      </c>
      <c r="C46" t="s">
        <v>9</v>
      </c>
      <c r="D46" t="s">
        <v>16</v>
      </c>
      <c r="E46">
        <v>31</v>
      </c>
      <c r="F46" s="1">
        <v>44724</v>
      </c>
      <c r="G46" s="4">
        <v>103550</v>
      </c>
      <c r="H46" t="s">
        <v>10</v>
      </c>
    </row>
    <row r="47" spans="2:8" x14ac:dyDescent="0.3">
      <c r="B47" t="s">
        <v>151</v>
      </c>
      <c r="C47" t="s">
        <v>9</v>
      </c>
      <c r="D47" t="s">
        <v>11</v>
      </c>
      <c r="E47">
        <v>31</v>
      </c>
      <c r="F47" s="1">
        <v>44511</v>
      </c>
      <c r="G47" s="4">
        <v>48950</v>
      </c>
      <c r="H47" t="s">
        <v>10</v>
      </c>
    </row>
    <row r="48" spans="2:8" x14ac:dyDescent="0.3">
      <c r="B48" t="s">
        <v>152</v>
      </c>
      <c r="C48" t="s">
        <v>9</v>
      </c>
      <c r="D48" t="s">
        <v>21</v>
      </c>
      <c r="E48">
        <v>24</v>
      </c>
      <c r="F48" s="1">
        <v>44436</v>
      </c>
      <c r="G48" s="4">
        <v>52610</v>
      </c>
      <c r="H48" t="s">
        <v>20</v>
      </c>
    </row>
    <row r="49" spans="2:8" x14ac:dyDescent="0.3">
      <c r="B49" t="s">
        <v>153</v>
      </c>
      <c r="C49" t="s">
        <v>13</v>
      </c>
      <c r="D49" t="s">
        <v>16</v>
      </c>
      <c r="E49">
        <v>36</v>
      </c>
      <c r="F49" s="1">
        <v>44529</v>
      </c>
      <c r="G49" s="4">
        <v>78390</v>
      </c>
      <c r="H49" t="s">
        <v>10</v>
      </c>
    </row>
    <row r="50" spans="2:8" x14ac:dyDescent="0.3">
      <c r="B50" t="s">
        <v>154</v>
      </c>
      <c r="C50" t="s">
        <v>13</v>
      </c>
      <c r="D50" t="s">
        <v>21</v>
      </c>
      <c r="E50">
        <v>33</v>
      </c>
      <c r="F50" s="1">
        <v>44809</v>
      </c>
      <c r="G50" s="4">
        <v>86570</v>
      </c>
      <c r="H50" t="s">
        <v>10</v>
      </c>
    </row>
    <row r="51" spans="2:8" x14ac:dyDescent="0.3">
      <c r="B51" t="s">
        <v>155</v>
      </c>
      <c r="C51" t="s">
        <v>13</v>
      </c>
      <c r="D51" t="s">
        <v>11</v>
      </c>
      <c r="E51">
        <v>27</v>
      </c>
      <c r="F51" s="1">
        <v>44686</v>
      </c>
      <c r="G51" s="4">
        <v>83750</v>
      </c>
      <c r="H51" t="s">
        <v>10</v>
      </c>
    </row>
    <row r="52" spans="2:8" x14ac:dyDescent="0.3">
      <c r="B52" t="s">
        <v>156</v>
      </c>
      <c r="C52" t="s">
        <v>13</v>
      </c>
      <c r="D52" t="s">
        <v>21</v>
      </c>
      <c r="E52">
        <v>34</v>
      </c>
      <c r="F52" s="1">
        <v>44445</v>
      </c>
      <c r="G52" s="4">
        <v>92450</v>
      </c>
      <c r="H52" t="s">
        <v>10</v>
      </c>
    </row>
    <row r="53" spans="2:8" x14ac:dyDescent="0.3">
      <c r="B53" t="s">
        <v>157</v>
      </c>
      <c r="C53" t="s">
        <v>9</v>
      </c>
      <c r="D53" t="s">
        <v>11</v>
      </c>
      <c r="E53">
        <v>20</v>
      </c>
      <c r="F53" s="1">
        <v>44183</v>
      </c>
      <c r="G53" s="4">
        <v>112650</v>
      </c>
      <c r="H53" t="s">
        <v>10</v>
      </c>
    </row>
    <row r="54" spans="2:8" x14ac:dyDescent="0.3">
      <c r="B54" t="s">
        <v>158</v>
      </c>
      <c r="C54" t="s">
        <v>9</v>
      </c>
      <c r="D54" t="s">
        <v>16</v>
      </c>
      <c r="E54">
        <v>20</v>
      </c>
      <c r="F54" s="1">
        <v>44744</v>
      </c>
      <c r="G54" s="4">
        <v>79570</v>
      </c>
      <c r="H54" t="s">
        <v>10</v>
      </c>
    </row>
    <row r="55" spans="2:8" x14ac:dyDescent="0.3">
      <c r="B55" t="s">
        <v>159</v>
      </c>
      <c r="C55" t="s">
        <v>13</v>
      </c>
      <c r="D55" t="s">
        <v>23</v>
      </c>
      <c r="E55">
        <v>20</v>
      </c>
      <c r="F55" s="1">
        <v>44537</v>
      </c>
      <c r="G55" s="4">
        <v>68900</v>
      </c>
      <c r="H55" t="s">
        <v>20</v>
      </c>
    </row>
    <row r="56" spans="2:8" x14ac:dyDescent="0.3">
      <c r="B56" t="s">
        <v>160</v>
      </c>
      <c r="C56" t="s">
        <v>13</v>
      </c>
      <c r="D56" t="s">
        <v>11</v>
      </c>
      <c r="E56">
        <v>25</v>
      </c>
      <c r="F56" s="1">
        <v>44694</v>
      </c>
      <c r="G56" s="4">
        <v>80700</v>
      </c>
      <c r="H56" t="s">
        <v>14</v>
      </c>
    </row>
    <row r="57" spans="2:8" x14ac:dyDescent="0.3">
      <c r="B57" t="s">
        <v>161</v>
      </c>
      <c r="C57" t="s">
        <v>9</v>
      </c>
      <c r="D57" t="s">
        <v>16</v>
      </c>
      <c r="E57">
        <v>19</v>
      </c>
      <c r="F57" s="1">
        <v>44277</v>
      </c>
      <c r="G57" s="4">
        <v>58960</v>
      </c>
      <c r="H57" t="s">
        <v>10</v>
      </c>
    </row>
    <row r="58" spans="2:8" x14ac:dyDescent="0.3">
      <c r="B58" t="s">
        <v>162</v>
      </c>
      <c r="C58" t="s">
        <v>9</v>
      </c>
      <c r="D58" t="s">
        <v>11</v>
      </c>
      <c r="E58">
        <v>36</v>
      </c>
      <c r="F58" s="1">
        <v>44019</v>
      </c>
      <c r="G58" s="4">
        <v>118840</v>
      </c>
      <c r="H58" t="s">
        <v>10</v>
      </c>
    </row>
    <row r="59" spans="2:8" x14ac:dyDescent="0.3">
      <c r="B59" t="s">
        <v>163</v>
      </c>
      <c r="C59" t="s">
        <v>9</v>
      </c>
      <c r="D59" t="s">
        <v>21</v>
      </c>
      <c r="E59">
        <v>28</v>
      </c>
      <c r="F59" s="1">
        <v>44041</v>
      </c>
      <c r="G59" s="4">
        <v>48170</v>
      </c>
      <c r="H59" t="s">
        <v>14</v>
      </c>
    </row>
    <row r="60" spans="2:8" x14ac:dyDescent="0.3">
      <c r="B60" t="s">
        <v>164</v>
      </c>
      <c r="C60" t="s">
        <v>13</v>
      </c>
      <c r="D60" t="s">
        <v>18</v>
      </c>
      <c r="E60">
        <v>32</v>
      </c>
      <c r="F60" s="1">
        <v>44400</v>
      </c>
      <c r="G60" s="4">
        <v>45510</v>
      </c>
      <c r="H60" t="s">
        <v>10</v>
      </c>
    </row>
    <row r="61" spans="2:8" x14ac:dyDescent="0.3">
      <c r="B61" t="s">
        <v>157</v>
      </c>
      <c r="C61" t="s">
        <v>9</v>
      </c>
      <c r="D61" t="s">
        <v>16</v>
      </c>
      <c r="E61">
        <v>34</v>
      </c>
      <c r="F61" s="1">
        <v>44703</v>
      </c>
      <c r="G61" s="4">
        <v>112650</v>
      </c>
      <c r="H61" t="s">
        <v>10</v>
      </c>
    </row>
    <row r="62" spans="2:8" x14ac:dyDescent="0.3">
      <c r="B62" t="s">
        <v>165</v>
      </c>
      <c r="C62" t="s">
        <v>13</v>
      </c>
      <c r="D62" t="s">
        <v>16</v>
      </c>
      <c r="E62">
        <v>36</v>
      </c>
      <c r="F62" s="1">
        <v>44085</v>
      </c>
      <c r="G62" s="4">
        <v>114890</v>
      </c>
      <c r="H62" t="s">
        <v>10</v>
      </c>
    </row>
    <row r="63" spans="2:8" x14ac:dyDescent="0.3">
      <c r="B63" t="s">
        <v>166</v>
      </c>
      <c r="C63" t="s">
        <v>9</v>
      </c>
      <c r="D63" t="s">
        <v>11</v>
      </c>
      <c r="E63">
        <v>30</v>
      </c>
      <c r="F63" s="1">
        <v>44850</v>
      </c>
      <c r="G63" s="4">
        <v>69710</v>
      </c>
      <c r="H63" t="s">
        <v>10</v>
      </c>
    </row>
    <row r="64" spans="2:8" x14ac:dyDescent="0.3">
      <c r="B64" t="s">
        <v>167</v>
      </c>
      <c r="C64" t="s">
        <v>9</v>
      </c>
      <c r="D64" t="s">
        <v>21</v>
      </c>
      <c r="E64">
        <v>36</v>
      </c>
      <c r="F64" s="1">
        <v>44333</v>
      </c>
      <c r="G64" s="4">
        <v>71380</v>
      </c>
      <c r="H64" t="s">
        <v>10</v>
      </c>
    </row>
    <row r="65" spans="2:8" x14ac:dyDescent="0.3">
      <c r="B65" t="s">
        <v>168</v>
      </c>
      <c r="C65" t="s">
        <v>13</v>
      </c>
      <c r="D65" t="s">
        <v>23</v>
      </c>
      <c r="E65">
        <v>38</v>
      </c>
      <c r="F65" s="1">
        <v>44377</v>
      </c>
      <c r="G65" s="4">
        <v>109160</v>
      </c>
      <c r="H65" t="s">
        <v>42</v>
      </c>
    </row>
    <row r="66" spans="2:8" x14ac:dyDescent="0.3">
      <c r="B66" t="s">
        <v>169</v>
      </c>
      <c r="C66" t="s">
        <v>9</v>
      </c>
      <c r="D66" t="s">
        <v>16</v>
      </c>
      <c r="E66">
        <v>27</v>
      </c>
      <c r="F66" s="1">
        <v>44609</v>
      </c>
      <c r="G66" s="4">
        <v>113280</v>
      </c>
      <c r="H66" t="s">
        <v>82</v>
      </c>
    </row>
    <row r="67" spans="2:8" x14ac:dyDescent="0.3">
      <c r="B67" t="s">
        <v>170</v>
      </c>
      <c r="C67" t="s">
        <v>9</v>
      </c>
      <c r="D67" t="s">
        <v>11</v>
      </c>
      <c r="E67">
        <v>30</v>
      </c>
      <c r="F67" s="1">
        <v>44273</v>
      </c>
      <c r="G67" s="4">
        <v>69120</v>
      </c>
      <c r="H67" t="s">
        <v>10</v>
      </c>
    </row>
    <row r="68" spans="2:8" x14ac:dyDescent="0.3">
      <c r="B68" t="s">
        <v>171</v>
      </c>
      <c r="C68" t="s">
        <v>13</v>
      </c>
      <c r="D68" t="s">
        <v>18</v>
      </c>
      <c r="E68">
        <v>37</v>
      </c>
      <c r="F68" s="1">
        <v>44451</v>
      </c>
      <c r="G68" s="4">
        <v>118100</v>
      </c>
      <c r="H68" t="s">
        <v>10</v>
      </c>
    </row>
    <row r="69" spans="2:8" x14ac:dyDescent="0.3">
      <c r="B69" t="s">
        <v>172</v>
      </c>
      <c r="C69" t="s">
        <v>13</v>
      </c>
      <c r="D69" t="s">
        <v>16</v>
      </c>
      <c r="E69">
        <v>22</v>
      </c>
      <c r="F69" s="1">
        <v>44450</v>
      </c>
      <c r="G69" s="4">
        <v>76900</v>
      </c>
      <c r="H69" t="s">
        <v>14</v>
      </c>
    </row>
    <row r="70" spans="2:8" x14ac:dyDescent="0.3">
      <c r="B70" t="s">
        <v>173</v>
      </c>
      <c r="C70" t="s">
        <v>13</v>
      </c>
      <c r="D70" t="s">
        <v>11</v>
      </c>
      <c r="E70">
        <v>43</v>
      </c>
      <c r="F70" s="1">
        <v>45045</v>
      </c>
      <c r="G70" s="4">
        <v>114870</v>
      </c>
      <c r="H70" t="s">
        <v>10</v>
      </c>
    </row>
    <row r="71" spans="2:8" x14ac:dyDescent="0.3">
      <c r="B71" t="s">
        <v>174</v>
      </c>
      <c r="D71" t="s">
        <v>11</v>
      </c>
      <c r="E71">
        <v>32</v>
      </c>
      <c r="F71" s="1">
        <v>44774</v>
      </c>
      <c r="G71" s="4">
        <v>91310</v>
      </c>
      <c r="H71" t="s">
        <v>10</v>
      </c>
    </row>
    <row r="72" spans="2:8" x14ac:dyDescent="0.3">
      <c r="B72" t="s">
        <v>175</v>
      </c>
      <c r="C72" t="s">
        <v>13</v>
      </c>
      <c r="D72" t="s">
        <v>16</v>
      </c>
      <c r="E72">
        <v>28</v>
      </c>
      <c r="F72" s="1">
        <v>44486</v>
      </c>
      <c r="G72" s="4">
        <v>104770</v>
      </c>
      <c r="H72" t="s">
        <v>10</v>
      </c>
    </row>
    <row r="73" spans="2:8" x14ac:dyDescent="0.3">
      <c r="B73" t="s">
        <v>176</v>
      </c>
      <c r="C73" t="s">
        <v>9</v>
      </c>
      <c r="D73" t="s">
        <v>23</v>
      </c>
      <c r="E73">
        <v>27</v>
      </c>
      <c r="F73" s="1">
        <v>44134</v>
      </c>
      <c r="G73" s="4">
        <v>54970</v>
      </c>
      <c r="H73" t="s">
        <v>10</v>
      </c>
    </row>
    <row r="74" spans="2:8" x14ac:dyDescent="0.3">
      <c r="B74" t="s">
        <v>177</v>
      </c>
      <c r="D74" t="s">
        <v>11</v>
      </c>
      <c r="E74">
        <v>26</v>
      </c>
      <c r="F74" s="1">
        <v>44271</v>
      </c>
      <c r="G74" s="4">
        <v>90700</v>
      </c>
      <c r="H74" t="s">
        <v>14</v>
      </c>
    </row>
    <row r="75" spans="2:8" x14ac:dyDescent="0.3">
      <c r="B75" t="s">
        <v>178</v>
      </c>
      <c r="C75" t="s">
        <v>13</v>
      </c>
      <c r="D75" t="s">
        <v>23</v>
      </c>
      <c r="E75">
        <v>38</v>
      </c>
      <c r="F75" s="1">
        <v>44329</v>
      </c>
      <c r="G75" s="4">
        <v>56870</v>
      </c>
      <c r="H75" t="s">
        <v>14</v>
      </c>
    </row>
    <row r="76" spans="2:8" x14ac:dyDescent="0.3">
      <c r="B76" t="s">
        <v>179</v>
      </c>
      <c r="C76" t="s">
        <v>13</v>
      </c>
      <c r="D76" t="s">
        <v>23</v>
      </c>
      <c r="E76">
        <v>25</v>
      </c>
      <c r="F76" s="1">
        <v>44205</v>
      </c>
      <c r="G76" s="4">
        <v>92700</v>
      </c>
      <c r="H76" t="s">
        <v>10</v>
      </c>
    </row>
    <row r="77" spans="2:8" x14ac:dyDescent="0.3">
      <c r="B77" t="s">
        <v>180</v>
      </c>
      <c r="C77" t="s">
        <v>13</v>
      </c>
      <c r="D77" t="s">
        <v>21</v>
      </c>
      <c r="E77">
        <v>21</v>
      </c>
      <c r="F77" s="1">
        <v>44317</v>
      </c>
      <c r="G77" s="4">
        <v>65920</v>
      </c>
      <c r="H77" t="s">
        <v>10</v>
      </c>
    </row>
    <row r="78" spans="2:8" x14ac:dyDescent="0.3">
      <c r="B78" t="s">
        <v>181</v>
      </c>
      <c r="C78" t="s">
        <v>9</v>
      </c>
      <c r="D78" t="s">
        <v>16</v>
      </c>
      <c r="E78">
        <v>26</v>
      </c>
      <c r="F78" s="1">
        <v>44225</v>
      </c>
      <c r="G78" s="4">
        <v>47360</v>
      </c>
      <c r="H78" t="s">
        <v>10</v>
      </c>
    </row>
    <row r="79" spans="2:8" x14ac:dyDescent="0.3">
      <c r="B79" t="s">
        <v>182</v>
      </c>
      <c r="C79" t="s">
        <v>9</v>
      </c>
      <c r="D79" t="s">
        <v>16</v>
      </c>
      <c r="E79">
        <v>30</v>
      </c>
      <c r="F79" s="1">
        <v>44666</v>
      </c>
      <c r="G79" s="4">
        <v>60570</v>
      </c>
      <c r="H79" t="s">
        <v>10</v>
      </c>
    </row>
    <row r="80" spans="2:8" x14ac:dyDescent="0.3">
      <c r="B80" t="s">
        <v>183</v>
      </c>
      <c r="C80" t="s">
        <v>13</v>
      </c>
      <c r="D80" t="s">
        <v>16</v>
      </c>
      <c r="E80">
        <v>28</v>
      </c>
      <c r="F80" s="1">
        <v>44649</v>
      </c>
      <c r="G80" s="4">
        <v>104120</v>
      </c>
      <c r="H80" t="s">
        <v>10</v>
      </c>
    </row>
    <row r="81" spans="2:14" x14ac:dyDescent="0.3">
      <c r="B81" t="s">
        <v>184</v>
      </c>
      <c r="C81" t="s">
        <v>9</v>
      </c>
      <c r="D81" t="s">
        <v>11</v>
      </c>
      <c r="E81">
        <v>37</v>
      </c>
      <c r="F81" s="1">
        <v>44338</v>
      </c>
      <c r="G81" s="4">
        <v>88050</v>
      </c>
      <c r="H81" t="s">
        <v>20</v>
      </c>
    </row>
    <row r="82" spans="2:14" x14ac:dyDescent="0.3">
      <c r="B82" t="s">
        <v>185</v>
      </c>
      <c r="C82" t="s">
        <v>9</v>
      </c>
      <c r="D82" t="s">
        <v>11</v>
      </c>
      <c r="E82">
        <v>24</v>
      </c>
      <c r="F82" s="1">
        <v>44686</v>
      </c>
      <c r="G82" s="4">
        <v>100420</v>
      </c>
      <c r="H82" t="s">
        <v>10</v>
      </c>
    </row>
    <row r="83" spans="2:14" x14ac:dyDescent="0.3">
      <c r="B83" t="s">
        <v>186</v>
      </c>
      <c r="C83" t="s">
        <v>13</v>
      </c>
      <c r="D83" t="s">
        <v>16</v>
      </c>
      <c r="E83">
        <v>30</v>
      </c>
      <c r="F83" s="1">
        <v>44850</v>
      </c>
      <c r="G83" s="4">
        <v>114180</v>
      </c>
      <c r="H83" t="s">
        <v>10</v>
      </c>
    </row>
    <row r="84" spans="2:14" x14ac:dyDescent="0.3">
      <c r="B84" t="s">
        <v>187</v>
      </c>
      <c r="C84" t="s">
        <v>13</v>
      </c>
      <c r="D84" t="s">
        <v>11</v>
      </c>
      <c r="E84">
        <v>21</v>
      </c>
      <c r="F84" s="1">
        <v>44678</v>
      </c>
      <c r="G84" s="4">
        <v>33920</v>
      </c>
      <c r="H84" t="s">
        <v>10</v>
      </c>
    </row>
    <row r="85" spans="2:14" x14ac:dyDescent="0.3">
      <c r="B85" t="s">
        <v>188</v>
      </c>
      <c r="C85" t="s">
        <v>9</v>
      </c>
      <c r="D85" t="s">
        <v>16</v>
      </c>
      <c r="E85">
        <v>23</v>
      </c>
      <c r="F85" s="1">
        <v>44440</v>
      </c>
      <c r="G85" s="4">
        <v>106460</v>
      </c>
      <c r="H85" t="s">
        <v>10</v>
      </c>
    </row>
    <row r="86" spans="2:14" x14ac:dyDescent="0.3">
      <c r="B86" t="s">
        <v>189</v>
      </c>
      <c r="C86" t="s">
        <v>9</v>
      </c>
      <c r="D86" t="s">
        <v>16</v>
      </c>
      <c r="E86">
        <v>35</v>
      </c>
      <c r="F86" s="1">
        <v>44727</v>
      </c>
      <c r="G86" s="4">
        <v>40400</v>
      </c>
      <c r="H86" t="s">
        <v>10</v>
      </c>
    </row>
    <row r="87" spans="2:14" x14ac:dyDescent="0.3">
      <c r="B87" t="s">
        <v>190</v>
      </c>
      <c r="C87" t="s">
        <v>9</v>
      </c>
      <c r="D87" t="s">
        <v>21</v>
      </c>
      <c r="E87">
        <v>27</v>
      </c>
      <c r="F87" s="1">
        <v>44236</v>
      </c>
      <c r="G87" s="4">
        <v>91650</v>
      </c>
      <c r="H87" t="s">
        <v>14</v>
      </c>
    </row>
    <row r="88" spans="2:14" x14ac:dyDescent="0.3">
      <c r="B88" t="s">
        <v>191</v>
      </c>
      <c r="C88" t="s">
        <v>9</v>
      </c>
      <c r="D88" t="s">
        <v>23</v>
      </c>
      <c r="E88">
        <v>43</v>
      </c>
      <c r="F88" s="1">
        <v>44620</v>
      </c>
      <c r="G88" s="4">
        <v>36040</v>
      </c>
      <c r="H88" t="s">
        <v>10</v>
      </c>
    </row>
    <row r="89" spans="2:14" x14ac:dyDescent="0.3">
      <c r="B89" t="s">
        <v>192</v>
      </c>
      <c r="C89" t="s">
        <v>13</v>
      </c>
      <c r="D89" t="s">
        <v>11</v>
      </c>
      <c r="E89">
        <v>40</v>
      </c>
      <c r="F89" s="1">
        <v>44381</v>
      </c>
      <c r="G89" s="4">
        <v>104410</v>
      </c>
      <c r="H89" t="s">
        <v>10</v>
      </c>
    </row>
    <row r="90" spans="2:14" x14ac:dyDescent="0.3">
      <c r="B90" t="s">
        <v>193</v>
      </c>
      <c r="C90" t="s">
        <v>9</v>
      </c>
      <c r="D90" t="s">
        <v>21</v>
      </c>
      <c r="E90">
        <v>30</v>
      </c>
      <c r="F90" s="1">
        <v>44606</v>
      </c>
      <c r="G90" s="4">
        <v>96800</v>
      </c>
      <c r="H90" t="s">
        <v>10</v>
      </c>
    </row>
    <row r="91" spans="2:14" x14ac:dyDescent="0.3">
      <c r="B91" t="s">
        <v>194</v>
      </c>
      <c r="C91" t="s">
        <v>13</v>
      </c>
      <c r="D91" t="s">
        <v>21</v>
      </c>
      <c r="E91">
        <v>34</v>
      </c>
      <c r="F91" s="1">
        <v>44459</v>
      </c>
      <c r="G91" s="4">
        <v>85000</v>
      </c>
      <c r="H91" t="s">
        <v>10</v>
      </c>
    </row>
    <row r="92" spans="2:14" x14ac:dyDescent="0.3">
      <c r="B92" t="s">
        <v>195</v>
      </c>
      <c r="C92" t="s">
        <v>9</v>
      </c>
      <c r="D92" t="s">
        <v>23</v>
      </c>
      <c r="E92">
        <v>28</v>
      </c>
      <c r="F92" s="1">
        <v>44820</v>
      </c>
      <c r="G92" s="4">
        <v>43510</v>
      </c>
      <c r="H92" t="s">
        <v>82</v>
      </c>
    </row>
    <row r="93" spans="2:14" x14ac:dyDescent="0.3">
      <c r="B93" t="s">
        <v>196</v>
      </c>
      <c r="C93" t="s">
        <v>9</v>
      </c>
      <c r="D93" t="s">
        <v>21</v>
      </c>
      <c r="E93">
        <v>33</v>
      </c>
      <c r="F93" s="1">
        <v>44243</v>
      </c>
      <c r="G93" s="4">
        <v>59430</v>
      </c>
      <c r="H93" t="s">
        <v>10</v>
      </c>
    </row>
    <row r="94" spans="2:14" x14ac:dyDescent="0.3">
      <c r="B94" t="s">
        <v>197</v>
      </c>
      <c r="C94" t="s">
        <v>13</v>
      </c>
      <c r="D94" t="s">
        <v>21</v>
      </c>
      <c r="E94">
        <v>33</v>
      </c>
      <c r="F94" s="1">
        <v>44067</v>
      </c>
      <c r="G94" s="4">
        <v>65360</v>
      </c>
      <c r="H94" t="s">
        <v>10</v>
      </c>
    </row>
    <row r="95" spans="2:14" x14ac:dyDescent="0.3">
      <c r="B95" t="s">
        <v>198</v>
      </c>
      <c r="C95" t="s">
        <v>13</v>
      </c>
      <c r="D95" t="s">
        <v>16</v>
      </c>
      <c r="E95">
        <v>32</v>
      </c>
      <c r="F95" s="1">
        <v>44611</v>
      </c>
      <c r="G95" s="4">
        <v>41570</v>
      </c>
      <c r="H95" t="s">
        <v>10</v>
      </c>
      <c r="N95" s="3"/>
    </row>
    <row r="96" spans="2:14" x14ac:dyDescent="0.3">
      <c r="B96" t="s">
        <v>199</v>
      </c>
      <c r="C96" t="s">
        <v>13</v>
      </c>
      <c r="D96" t="s">
        <v>11</v>
      </c>
      <c r="E96">
        <v>33</v>
      </c>
      <c r="F96" s="1">
        <v>44312</v>
      </c>
      <c r="G96" s="4">
        <v>75280</v>
      </c>
      <c r="H96" t="s">
        <v>10</v>
      </c>
      <c r="N96" s="3"/>
    </row>
    <row r="97" spans="2:8" x14ac:dyDescent="0.3">
      <c r="B97" t="s">
        <v>200</v>
      </c>
      <c r="C97" t="s">
        <v>9</v>
      </c>
      <c r="D97" t="s">
        <v>23</v>
      </c>
      <c r="E97">
        <v>33</v>
      </c>
      <c r="F97" s="1">
        <v>44385</v>
      </c>
      <c r="G97" s="4">
        <v>74550</v>
      </c>
      <c r="H97" t="s">
        <v>10</v>
      </c>
    </row>
    <row r="98" spans="2:8" x14ac:dyDescent="0.3">
      <c r="B98" t="s">
        <v>201</v>
      </c>
      <c r="C98" t="s">
        <v>9</v>
      </c>
      <c r="D98" t="s">
        <v>16</v>
      </c>
      <c r="E98">
        <v>30</v>
      </c>
      <c r="F98" s="1">
        <v>44701</v>
      </c>
      <c r="G98" s="4">
        <v>67950</v>
      </c>
      <c r="H98" t="s">
        <v>10</v>
      </c>
    </row>
    <row r="99" spans="2:8" x14ac:dyDescent="0.3">
      <c r="B99" t="s">
        <v>202</v>
      </c>
      <c r="C99" t="s">
        <v>9</v>
      </c>
      <c r="D99" t="s">
        <v>21</v>
      </c>
      <c r="E99">
        <v>42</v>
      </c>
      <c r="F99" s="1">
        <v>44731</v>
      </c>
      <c r="G99" s="4">
        <v>70270</v>
      </c>
      <c r="H99" t="s">
        <v>20</v>
      </c>
    </row>
    <row r="100" spans="2:8" x14ac:dyDescent="0.3">
      <c r="B100" t="s">
        <v>203</v>
      </c>
      <c r="C100" t="s">
        <v>9</v>
      </c>
      <c r="D100" t="s">
        <v>16</v>
      </c>
      <c r="E100">
        <v>26</v>
      </c>
      <c r="F100" s="1">
        <v>44411</v>
      </c>
      <c r="G100" s="4">
        <v>53540</v>
      </c>
      <c r="H100" t="s">
        <v>10</v>
      </c>
    </row>
    <row r="101" spans="2:8" x14ac:dyDescent="0.3">
      <c r="B101" t="s">
        <v>113</v>
      </c>
      <c r="C101" t="s">
        <v>9</v>
      </c>
      <c r="D101" t="s">
        <v>23</v>
      </c>
      <c r="E101">
        <v>22</v>
      </c>
      <c r="F101" s="1">
        <v>44446</v>
      </c>
      <c r="G101" s="4">
        <v>112780</v>
      </c>
      <c r="H101" t="s">
        <v>14</v>
      </c>
    </row>
    <row r="102" spans="2:8" x14ac:dyDescent="0.3">
      <c r="B102" t="s">
        <v>114</v>
      </c>
      <c r="C102" t="s">
        <v>9</v>
      </c>
      <c r="D102" t="s">
        <v>16</v>
      </c>
      <c r="E102">
        <v>46</v>
      </c>
      <c r="F102" s="1">
        <v>44758</v>
      </c>
      <c r="G102" s="4">
        <v>70610</v>
      </c>
      <c r="H102" t="s">
        <v>10</v>
      </c>
    </row>
    <row r="103" spans="2:8" x14ac:dyDescent="0.3">
      <c r="B103" t="s">
        <v>115</v>
      </c>
      <c r="C103" t="s">
        <v>13</v>
      </c>
      <c r="D103" t="s">
        <v>23</v>
      </c>
      <c r="E103">
        <v>28</v>
      </c>
      <c r="F103" s="1">
        <v>44357</v>
      </c>
      <c r="G103" s="4">
        <v>53240</v>
      </c>
      <c r="H103" t="s">
        <v>10</v>
      </c>
    </row>
    <row r="104" spans="2:8" x14ac:dyDescent="0.3">
      <c r="B104" t="s">
        <v>116</v>
      </c>
      <c r="D104" t="s">
        <v>21</v>
      </c>
      <c r="E104">
        <v>37</v>
      </c>
      <c r="F104" s="1">
        <v>44146</v>
      </c>
      <c r="G104" s="4">
        <v>115440</v>
      </c>
      <c r="H104" t="s">
        <v>20</v>
      </c>
    </row>
    <row r="105" spans="2:8" x14ac:dyDescent="0.3">
      <c r="B105" t="s">
        <v>117</v>
      </c>
      <c r="C105" t="s">
        <v>9</v>
      </c>
      <c r="D105" t="s">
        <v>23</v>
      </c>
      <c r="E105">
        <v>32</v>
      </c>
      <c r="F105" s="1">
        <v>44465</v>
      </c>
      <c r="G105" s="4">
        <v>53540</v>
      </c>
      <c r="H105" t="s">
        <v>10</v>
      </c>
    </row>
    <row r="106" spans="2:8" x14ac:dyDescent="0.3">
      <c r="B106" t="s">
        <v>118</v>
      </c>
      <c r="C106" t="s">
        <v>13</v>
      </c>
      <c r="D106" t="s">
        <v>16</v>
      </c>
      <c r="E106">
        <v>30</v>
      </c>
      <c r="F106" s="1">
        <v>44861</v>
      </c>
      <c r="G106" s="4">
        <v>112570</v>
      </c>
      <c r="H106" t="s">
        <v>10</v>
      </c>
    </row>
    <row r="107" spans="2:8" x14ac:dyDescent="0.3">
      <c r="B107" t="s">
        <v>119</v>
      </c>
      <c r="C107" t="s">
        <v>9</v>
      </c>
      <c r="D107" t="s">
        <v>16</v>
      </c>
      <c r="E107">
        <v>33</v>
      </c>
      <c r="F107" s="1">
        <v>44701</v>
      </c>
      <c r="G107" s="4">
        <v>48530</v>
      </c>
      <c r="H107" t="s">
        <v>14</v>
      </c>
    </row>
    <row r="108" spans="2:8" x14ac:dyDescent="0.3">
      <c r="B108" t="s">
        <v>120</v>
      </c>
      <c r="C108" t="s">
        <v>13</v>
      </c>
      <c r="D108" t="s">
        <v>11</v>
      </c>
      <c r="E108">
        <v>24</v>
      </c>
      <c r="F108" s="1">
        <v>44148</v>
      </c>
      <c r="G108" s="4">
        <v>62780</v>
      </c>
      <c r="H108" t="s">
        <v>10</v>
      </c>
    </row>
    <row r="109" spans="2:8" x14ac:dyDescent="0.3">
      <c r="B109" t="s">
        <v>204</v>
      </c>
      <c r="E109">
        <f>SUBTOTAL(101,nz_table[Age])</f>
        <v>30.52</v>
      </c>
      <c r="G109" s="3">
        <f>SUBTOTAL(101,nz_table[Salary])</f>
        <v>77472.100000000006</v>
      </c>
      <c r="H109">
        <f>SUBTOTAL(103,nz_table[Rating])</f>
        <v>100</v>
      </c>
    </row>
  </sheetData>
  <mergeCells count="1">
    <mergeCell ref="A1:XFD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B7" sqref="B7"/>
    </sheetView>
  </sheetViews>
  <sheetFormatPr defaultRowHeight="14.4" x14ac:dyDescent="0.3"/>
  <cols>
    <col min="2" max="2" width="26.6640625" customWidth="1"/>
    <col min="3" max="3" width="9.33203125" bestFit="1" customWidth="1"/>
    <col min="4" max="4" width="6.44140625" bestFit="1" customWidth="1"/>
    <col min="5" max="5" width="13.109375" bestFit="1" customWidth="1"/>
    <col min="6" max="6" width="13" bestFit="1" customWidth="1"/>
    <col min="7" max="7" width="13.33203125" bestFit="1" customWidth="1"/>
    <col min="8" max="8" width="8.33203125" bestFit="1" customWidth="1"/>
    <col min="15" max="15" width="16.21875" customWidth="1"/>
  </cols>
  <sheetData>
    <row r="1" spans="1:8" s="48" customFormat="1" x14ac:dyDescent="0.3">
      <c r="A1" s="47" t="s">
        <v>0</v>
      </c>
    </row>
    <row r="2" spans="1:8" s="48" customFormat="1" x14ac:dyDescent="0.3"/>
    <row r="3" spans="1:8" s="48" customFormat="1" x14ac:dyDescent="0.3"/>
    <row r="4" spans="1:8" s="48" customFormat="1" x14ac:dyDescent="0.3"/>
    <row r="7" spans="1:8" x14ac:dyDescent="0.3">
      <c r="B7" t="s">
        <v>1</v>
      </c>
      <c r="C7" t="s">
        <v>2</v>
      </c>
      <c r="D7" t="s">
        <v>3</v>
      </c>
      <c r="E7" t="s">
        <v>4</v>
      </c>
      <c r="F7" t="s">
        <v>5</v>
      </c>
      <c r="G7" t="s">
        <v>6</v>
      </c>
      <c r="H7" t="s">
        <v>7</v>
      </c>
    </row>
    <row r="8" spans="1:8" x14ac:dyDescent="0.3">
      <c r="B8" t="s">
        <v>8</v>
      </c>
      <c r="C8" t="s">
        <v>9</v>
      </c>
      <c r="D8">
        <v>20</v>
      </c>
      <c r="E8" t="s">
        <v>10</v>
      </c>
      <c r="F8" s="1">
        <v>44122</v>
      </c>
      <c r="G8" t="s">
        <v>11</v>
      </c>
      <c r="H8">
        <v>112650</v>
      </c>
    </row>
    <row r="9" spans="1:8" x14ac:dyDescent="0.3">
      <c r="B9" t="s">
        <v>12</v>
      </c>
      <c r="C9" t="s">
        <v>13</v>
      </c>
      <c r="D9">
        <v>32</v>
      </c>
      <c r="E9" t="s">
        <v>14</v>
      </c>
      <c r="F9" s="1">
        <v>44293</v>
      </c>
      <c r="G9" t="s">
        <v>11</v>
      </c>
      <c r="H9">
        <v>43840</v>
      </c>
    </row>
    <row r="10" spans="1:8" x14ac:dyDescent="0.3">
      <c r="B10" t="s">
        <v>15</v>
      </c>
      <c r="C10" t="s">
        <v>9</v>
      </c>
      <c r="D10">
        <v>31</v>
      </c>
      <c r="E10" t="s">
        <v>10</v>
      </c>
      <c r="F10" s="1">
        <v>44663</v>
      </c>
      <c r="G10" t="s">
        <v>16</v>
      </c>
      <c r="H10">
        <v>103550</v>
      </c>
    </row>
    <row r="11" spans="1:8" x14ac:dyDescent="0.3">
      <c r="B11" t="s">
        <v>17</v>
      </c>
      <c r="C11" t="s">
        <v>13</v>
      </c>
      <c r="D11">
        <v>32</v>
      </c>
      <c r="E11" t="s">
        <v>10</v>
      </c>
      <c r="F11" s="1">
        <v>44339</v>
      </c>
      <c r="G11" t="s">
        <v>18</v>
      </c>
      <c r="H11">
        <v>45510</v>
      </c>
    </row>
    <row r="12" spans="1:8" x14ac:dyDescent="0.3">
      <c r="B12" t="s">
        <v>19</v>
      </c>
      <c r="D12">
        <v>37</v>
      </c>
      <c r="E12" t="s">
        <v>20</v>
      </c>
      <c r="F12" s="1">
        <v>44085</v>
      </c>
      <c r="G12" t="s">
        <v>21</v>
      </c>
      <c r="H12">
        <v>115440</v>
      </c>
    </row>
    <row r="13" spans="1:8" x14ac:dyDescent="0.3">
      <c r="B13" t="s">
        <v>22</v>
      </c>
      <c r="C13" t="s">
        <v>13</v>
      </c>
      <c r="D13">
        <v>38</v>
      </c>
      <c r="E13" t="s">
        <v>14</v>
      </c>
      <c r="F13" s="1">
        <v>44268</v>
      </c>
      <c r="G13" t="s">
        <v>23</v>
      </c>
      <c r="H13">
        <v>56870</v>
      </c>
    </row>
    <row r="14" spans="1:8" x14ac:dyDescent="0.3">
      <c r="B14" t="s">
        <v>24</v>
      </c>
      <c r="C14" t="s">
        <v>13</v>
      </c>
      <c r="D14">
        <v>25</v>
      </c>
      <c r="E14" t="s">
        <v>10</v>
      </c>
      <c r="F14" s="1">
        <v>44144</v>
      </c>
      <c r="G14" t="s">
        <v>23</v>
      </c>
      <c r="H14">
        <v>92700</v>
      </c>
    </row>
    <row r="15" spans="1:8" x14ac:dyDescent="0.3">
      <c r="B15" t="s">
        <v>25</v>
      </c>
      <c r="D15">
        <v>32</v>
      </c>
      <c r="E15" t="s">
        <v>10</v>
      </c>
      <c r="F15" s="1">
        <v>44713</v>
      </c>
      <c r="G15" t="s">
        <v>11</v>
      </c>
      <c r="H15">
        <v>91310</v>
      </c>
    </row>
    <row r="16" spans="1:8" x14ac:dyDescent="0.3">
      <c r="B16" t="s">
        <v>26</v>
      </c>
      <c r="C16" t="s">
        <v>9</v>
      </c>
      <c r="D16">
        <v>33</v>
      </c>
      <c r="E16" t="s">
        <v>10</v>
      </c>
      <c r="F16" s="1">
        <v>44324</v>
      </c>
      <c r="G16" t="s">
        <v>23</v>
      </c>
      <c r="H16">
        <v>74550</v>
      </c>
    </row>
    <row r="17" spans="2:8" x14ac:dyDescent="0.3">
      <c r="B17" t="s">
        <v>27</v>
      </c>
      <c r="C17" t="s">
        <v>9</v>
      </c>
      <c r="D17">
        <v>25</v>
      </c>
      <c r="E17" t="s">
        <v>14</v>
      </c>
      <c r="F17" s="1">
        <v>44665</v>
      </c>
      <c r="G17" t="s">
        <v>16</v>
      </c>
      <c r="H17">
        <v>109190</v>
      </c>
    </row>
    <row r="18" spans="2:8" x14ac:dyDescent="0.3">
      <c r="B18" t="s">
        <v>28</v>
      </c>
      <c r="C18" t="s">
        <v>13</v>
      </c>
      <c r="D18">
        <v>40</v>
      </c>
      <c r="E18" t="s">
        <v>10</v>
      </c>
      <c r="F18" s="1">
        <v>44320</v>
      </c>
      <c r="G18" t="s">
        <v>11</v>
      </c>
      <c r="H18">
        <v>104410</v>
      </c>
    </row>
    <row r="19" spans="2:8" x14ac:dyDescent="0.3">
      <c r="B19" t="s">
        <v>29</v>
      </c>
      <c r="C19" t="s">
        <v>9</v>
      </c>
      <c r="D19">
        <v>30</v>
      </c>
      <c r="E19" t="s">
        <v>10</v>
      </c>
      <c r="F19" s="1">
        <v>44544</v>
      </c>
      <c r="G19" t="s">
        <v>21</v>
      </c>
      <c r="H19">
        <v>96800</v>
      </c>
    </row>
    <row r="20" spans="2:8" x14ac:dyDescent="0.3">
      <c r="B20" t="s">
        <v>30</v>
      </c>
      <c r="C20" t="s">
        <v>9</v>
      </c>
      <c r="D20">
        <v>28</v>
      </c>
      <c r="E20" t="s">
        <v>14</v>
      </c>
      <c r="F20" s="1">
        <v>43980</v>
      </c>
      <c r="G20" t="s">
        <v>21</v>
      </c>
      <c r="H20">
        <v>48170</v>
      </c>
    </row>
    <row r="21" spans="2:8" x14ac:dyDescent="0.3">
      <c r="B21" t="s">
        <v>31</v>
      </c>
      <c r="C21" t="s">
        <v>9</v>
      </c>
      <c r="D21">
        <v>21</v>
      </c>
      <c r="E21" t="s">
        <v>10</v>
      </c>
      <c r="F21" s="1">
        <v>44042</v>
      </c>
      <c r="G21" t="s">
        <v>16</v>
      </c>
      <c r="H21">
        <v>37920</v>
      </c>
    </row>
    <row r="22" spans="2:8" x14ac:dyDescent="0.3">
      <c r="B22" t="s">
        <v>32</v>
      </c>
      <c r="C22" t="s">
        <v>9</v>
      </c>
      <c r="D22">
        <v>34</v>
      </c>
      <c r="E22" t="s">
        <v>10</v>
      </c>
      <c r="F22" s="1">
        <v>44642</v>
      </c>
      <c r="G22" t="s">
        <v>16</v>
      </c>
      <c r="H22">
        <v>112650</v>
      </c>
    </row>
    <row r="23" spans="2:8" x14ac:dyDescent="0.3">
      <c r="B23" t="s">
        <v>33</v>
      </c>
      <c r="C23" t="s">
        <v>13</v>
      </c>
      <c r="D23">
        <v>34</v>
      </c>
      <c r="E23" t="s">
        <v>20</v>
      </c>
      <c r="F23" s="1">
        <v>44660</v>
      </c>
      <c r="G23" t="s">
        <v>23</v>
      </c>
      <c r="H23">
        <v>49630</v>
      </c>
    </row>
    <row r="24" spans="2:8" x14ac:dyDescent="0.3">
      <c r="B24" t="s">
        <v>34</v>
      </c>
      <c r="C24" t="s">
        <v>9</v>
      </c>
      <c r="D24">
        <v>36</v>
      </c>
      <c r="E24" t="s">
        <v>10</v>
      </c>
      <c r="F24" s="1">
        <v>43958</v>
      </c>
      <c r="G24" t="s">
        <v>11</v>
      </c>
      <c r="H24">
        <v>118840</v>
      </c>
    </row>
    <row r="25" spans="2:8" x14ac:dyDescent="0.3">
      <c r="B25" t="s">
        <v>35</v>
      </c>
      <c r="C25" t="s">
        <v>9</v>
      </c>
      <c r="D25">
        <v>30</v>
      </c>
      <c r="E25" t="s">
        <v>10</v>
      </c>
      <c r="F25" s="1">
        <v>44789</v>
      </c>
      <c r="G25" t="s">
        <v>11</v>
      </c>
      <c r="H25">
        <v>69710</v>
      </c>
    </row>
    <row r="26" spans="2:8" x14ac:dyDescent="0.3">
      <c r="B26" t="s">
        <v>36</v>
      </c>
      <c r="C26" t="s">
        <v>9</v>
      </c>
      <c r="D26">
        <v>20</v>
      </c>
      <c r="E26" t="s">
        <v>10</v>
      </c>
      <c r="F26" s="1">
        <v>44683</v>
      </c>
      <c r="G26" t="s">
        <v>16</v>
      </c>
      <c r="H26">
        <v>79570</v>
      </c>
    </row>
    <row r="27" spans="2:8" x14ac:dyDescent="0.3">
      <c r="B27" t="s">
        <v>37</v>
      </c>
      <c r="C27" t="s">
        <v>13</v>
      </c>
      <c r="D27">
        <v>22</v>
      </c>
      <c r="E27" t="s">
        <v>14</v>
      </c>
      <c r="F27" s="1">
        <v>44388</v>
      </c>
      <c r="G27" t="s">
        <v>16</v>
      </c>
      <c r="H27">
        <v>76900</v>
      </c>
    </row>
    <row r="28" spans="2:8" x14ac:dyDescent="0.3">
      <c r="B28" t="s">
        <v>38</v>
      </c>
      <c r="C28" t="s">
        <v>9</v>
      </c>
      <c r="D28">
        <v>27</v>
      </c>
      <c r="E28" t="s">
        <v>10</v>
      </c>
      <c r="F28" s="1">
        <v>44073</v>
      </c>
      <c r="G28" t="s">
        <v>23</v>
      </c>
      <c r="H28">
        <v>54970</v>
      </c>
    </row>
    <row r="29" spans="2:8" x14ac:dyDescent="0.3">
      <c r="B29" t="s">
        <v>39</v>
      </c>
      <c r="C29" t="s">
        <v>9</v>
      </c>
      <c r="D29">
        <v>37</v>
      </c>
      <c r="E29" t="s">
        <v>20</v>
      </c>
      <c r="F29" s="1">
        <v>44277</v>
      </c>
      <c r="G29" t="s">
        <v>11</v>
      </c>
      <c r="H29">
        <v>88050</v>
      </c>
    </row>
    <row r="30" spans="2:8" x14ac:dyDescent="0.3">
      <c r="B30" t="s">
        <v>40</v>
      </c>
      <c r="C30" t="s">
        <v>9</v>
      </c>
      <c r="D30">
        <v>43</v>
      </c>
      <c r="E30" t="s">
        <v>10</v>
      </c>
      <c r="F30" s="1">
        <v>44558</v>
      </c>
      <c r="G30" t="s">
        <v>23</v>
      </c>
      <c r="H30">
        <v>36040</v>
      </c>
    </row>
    <row r="31" spans="2:8" x14ac:dyDescent="0.3">
      <c r="B31" t="s">
        <v>41</v>
      </c>
      <c r="C31" t="s">
        <v>13</v>
      </c>
      <c r="D31">
        <v>42</v>
      </c>
      <c r="E31" t="s">
        <v>42</v>
      </c>
      <c r="F31" s="1">
        <v>44718</v>
      </c>
      <c r="G31" t="s">
        <v>16</v>
      </c>
      <c r="H31">
        <v>75000</v>
      </c>
    </row>
    <row r="32" spans="2:8" x14ac:dyDescent="0.3">
      <c r="B32" t="s">
        <v>43</v>
      </c>
      <c r="C32" t="s">
        <v>9</v>
      </c>
      <c r="D32">
        <v>35</v>
      </c>
      <c r="E32" t="s">
        <v>10</v>
      </c>
      <c r="F32" s="1">
        <v>44666</v>
      </c>
      <c r="G32" t="s">
        <v>16</v>
      </c>
      <c r="H32">
        <v>40400</v>
      </c>
    </row>
    <row r="33" spans="2:8" x14ac:dyDescent="0.3">
      <c r="B33" t="s">
        <v>44</v>
      </c>
      <c r="C33" t="s">
        <v>9</v>
      </c>
      <c r="D33">
        <v>24</v>
      </c>
      <c r="E33" t="s">
        <v>10</v>
      </c>
      <c r="F33" s="1">
        <v>44625</v>
      </c>
      <c r="G33" t="s">
        <v>11</v>
      </c>
      <c r="H33">
        <v>100420</v>
      </c>
    </row>
    <row r="34" spans="2:8" x14ac:dyDescent="0.3">
      <c r="B34" t="s">
        <v>45</v>
      </c>
      <c r="C34" t="s">
        <v>13</v>
      </c>
      <c r="D34">
        <v>31</v>
      </c>
      <c r="E34" t="s">
        <v>10</v>
      </c>
      <c r="F34" s="1">
        <v>44604</v>
      </c>
      <c r="G34" t="s">
        <v>11</v>
      </c>
      <c r="H34">
        <v>58100</v>
      </c>
    </row>
    <row r="35" spans="2:8" x14ac:dyDescent="0.3">
      <c r="B35" t="s">
        <v>46</v>
      </c>
      <c r="C35" t="s">
        <v>13</v>
      </c>
      <c r="D35">
        <v>44</v>
      </c>
      <c r="E35" t="s">
        <v>10</v>
      </c>
      <c r="F35" s="1">
        <v>44985</v>
      </c>
      <c r="G35" t="s">
        <v>11</v>
      </c>
      <c r="H35">
        <v>114870</v>
      </c>
    </row>
    <row r="36" spans="2:8" x14ac:dyDescent="0.3">
      <c r="B36" t="s">
        <v>47</v>
      </c>
      <c r="C36" t="s">
        <v>13</v>
      </c>
      <c r="D36">
        <v>32</v>
      </c>
      <c r="E36" t="s">
        <v>10</v>
      </c>
      <c r="F36" s="1">
        <v>44549</v>
      </c>
      <c r="G36" t="s">
        <v>16</v>
      </c>
      <c r="H36">
        <v>41570</v>
      </c>
    </row>
    <row r="37" spans="2:8" x14ac:dyDescent="0.3">
      <c r="B37" t="s">
        <v>48</v>
      </c>
      <c r="C37" t="s">
        <v>13</v>
      </c>
      <c r="D37">
        <v>30</v>
      </c>
      <c r="E37" t="s">
        <v>10</v>
      </c>
      <c r="F37" s="1">
        <v>44800</v>
      </c>
      <c r="G37" t="s">
        <v>16</v>
      </c>
      <c r="H37">
        <v>112570</v>
      </c>
    </row>
    <row r="38" spans="2:8" x14ac:dyDescent="0.3">
      <c r="B38" t="s">
        <v>49</v>
      </c>
      <c r="C38" t="s">
        <v>9</v>
      </c>
      <c r="D38">
        <v>26</v>
      </c>
      <c r="E38" t="s">
        <v>10</v>
      </c>
      <c r="F38" s="1">
        <v>44164</v>
      </c>
      <c r="G38" t="s">
        <v>16</v>
      </c>
      <c r="H38">
        <v>47360</v>
      </c>
    </row>
    <row r="39" spans="2:8" x14ac:dyDescent="0.3">
      <c r="B39" t="s">
        <v>50</v>
      </c>
      <c r="C39" t="s">
        <v>13</v>
      </c>
      <c r="D39">
        <v>21</v>
      </c>
      <c r="E39" t="s">
        <v>10</v>
      </c>
      <c r="F39" s="1">
        <v>44256</v>
      </c>
      <c r="G39" t="s">
        <v>21</v>
      </c>
      <c r="H39">
        <v>65920</v>
      </c>
    </row>
    <row r="40" spans="2:8" x14ac:dyDescent="0.3">
      <c r="B40" t="s">
        <v>51</v>
      </c>
      <c r="C40" t="s">
        <v>13</v>
      </c>
      <c r="D40">
        <v>28</v>
      </c>
      <c r="E40" t="s">
        <v>10</v>
      </c>
      <c r="F40" s="1">
        <v>44571</v>
      </c>
      <c r="G40" t="s">
        <v>16</v>
      </c>
      <c r="H40">
        <v>99970</v>
      </c>
    </row>
    <row r="41" spans="2:8" x14ac:dyDescent="0.3">
      <c r="B41" t="s">
        <v>52</v>
      </c>
      <c r="C41" t="s">
        <v>13</v>
      </c>
      <c r="D41">
        <v>25</v>
      </c>
      <c r="E41" t="s">
        <v>14</v>
      </c>
      <c r="F41" s="1">
        <v>44633</v>
      </c>
      <c r="G41" t="s">
        <v>11</v>
      </c>
      <c r="H41">
        <v>80700</v>
      </c>
    </row>
    <row r="42" spans="2:8" x14ac:dyDescent="0.3">
      <c r="B42" t="s">
        <v>53</v>
      </c>
      <c r="C42" t="s">
        <v>9</v>
      </c>
      <c r="D42">
        <v>24</v>
      </c>
      <c r="E42" t="s">
        <v>20</v>
      </c>
      <c r="F42" s="1">
        <v>44375</v>
      </c>
      <c r="G42" t="s">
        <v>21</v>
      </c>
      <c r="H42">
        <v>52610</v>
      </c>
    </row>
    <row r="43" spans="2:8" x14ac:dyDescent="0.3">
      <c r="B43" t="s">
        <v>54</v>
      </c>
      <c r="C43" t="s">
        <v>9</v>
      </c>
      <c r="D43">
        <v>29</v>
      </c>
      <c r="E43" t="s">
        <v>20</v>
      </c>
      <c r="F43" s="1">
        <v>44119</v>
      </c>
      <c r="G43" t="s">
        <v>11</v>
      </c>
      <c r="H43">
        <v>112110</v>
      </c>
    </row>
    <row r="44" spans="2:8" x14ac:dyDescent="0.3">
      <c r="B44" t="s">
        <v>55</v>
      </c>
      <c r="C44" t="s">
        <v>13</v>
      </c>
      <c r="D44">
        <v>27</v>
      </c>
      <c r="E44" t="s">
        <v>10</v>
      </c>
      <c r="F44" s="1">
        <v>44061</v>
      </c>
      <c r="G44" t="s">
        <v>18</v>
      </c>
      <c r="H44">
        <v>119110</v>
      </c>
    </row>
    <row r="45" spans="2:8" x14ac:dyDescent="0.3">
      <c r="B45" t="s">
        <v>56</v>
      </c>
      <c r="C45" t="s">
        <v>9</v>
      </c>
      <c r="D45">
        <v>22</v>
      </c>
      <c r="E45" t="s">
        <v>14</v>
      </c>
      <c r="F45" s="1">
        <v>44384</v>
      </c>
      <c r="G45" t="s">
        <v>23</v>
      </c>
      <c r="H45">
        <v>112780</v>
      </c>
    </row>
    <row r="46" spans="2:8" x14ac:dyDescent="0.3">
      <c r="B46" t="s">
        <v>57</v>
      </c>
      <c r="C46" t="s">
        <v>13</v>
      </c>
      <c r="D46">
        <v>36</v>
      </c>
      <c r="E46" t="s">
        <v>10</v>
      </c>
      <c r="F46" s="1">
        <v>44023</v>
      </c>
      <c r="G46" t="s">
        <v>16</v>
      </c>
      <c r="H46">
        <v>114890</v>
      </c>
    </row>
    <row r="47" spans="2:8" x14ac:dyDescent="0.3">
      <c r="B47" t="s">
        <v>58</v>
      </c>
      <c r="C47" t="s">
        <v>9</v>
      </c>
      <c r="D47">
        <v>27</v>
      </c>
      <c r="E47" t="s">
        <v>10</v>
      </c>
      <c r="F47" s="1">
        <v>44506</v>
      </c>
      <c r="G47" t="s">
        <v>21</v>
      </c>
      <c r="H47">
        <v>48980</v>
      </c>
    </row>
    <row r="48" spans="2:8" x14ac:dyDescent="0.3">
      <c r="B48" t="s">
        <v>59</v>
      </c>
      <c r="C48" t="s">
        <v>9</v>
      </c>
      <c r="D48">
        <v>21</v>
      </c>
      <c r="E48" t="s">
        <v>10</v>
      </c>
      <c r="F48" s="1">
        <v>44180</v>
      </c>
      <c r="G48" t="s">
        <v>18</v>
      </c>
      <c r="H48">
        <v>75880</v>
      </c>
    </row>
    <row r="49" spans="2:8" x14ac:dyDescent="0.3">
      <c r="B49" t="s">
        <v>60</v>
      </c>
      <c r="C49" t="s">
        <v>13</v>
      </c>
      <c r="D49">
        <v>28</v>
      </c>
      <c r="E49" t="s">
        <v>10</v>
      </c>
      <c r="F49" s="1">
        <v>44296</v>
      </c>
      <c r="G49" t="s">
        <v>23</v>
      </c>
      <c r="H49">
        <v>53240</v>
      </c>
    </row>
    <row r="50" spans="2:8" x14ac:dyDescent="0.3">
      <c r="B50" t="s">
        <v>61</v>
      </c>
      <c r="C50" t="s">
        <v>13</v>
      </c>
      <c r="D50">
        <v>34</v>
      </c>
      <c r="E50" t="s">
        <v>10</v>
      </c>
      <c r="F50" s="1">
        <v>44397</v>
      </c>
      <c r="G50" t="s">
        <v>21</v>
      </c>
      <c r="H50">
        <v>85000</v>
      </c>
    </row>
    <row r="51" spans="2:8" x14ac:dyDescent="0.3">
      <c r="B51" t="s">
        <v>62</v>
      </c>
      <c r="C51" t="s">
        <v>13</v>
      </c>
      <c r="D51">
        <v>21</v>
      </c>
      <c r="E51" t="s">
        <v>10</v>
      </c>
      <c r="F51" s="1">
        <v>44619</v>
      </c>
      <c r="G51" t="s">
        <v>11</v>
      </c>
      <c r="H51">
        <v>33920</v>
      </c>
    </row>
    <row r="52" spans="2:8" x14ac:dyDescent="0.3">
      <c r="B52" t="s">
        <v>63</v>
      </c>
      <c r="C52" t="s">
        <v>13</v>
      </c>
      <c r="D52">
        <v>33</v>
      </c>
      <c r="E52" t="s">
        <v>10</v>
      </c>
      <c r="F52" s="1">
        <v>44253</v>
      </c>
      <c r="G52" t="s">
        <v>11</v>
      </c>
      <c r="H52">
        <v>75280</v>
      </c>
    </row>
    <row r="53" spans="2:8" x14ac:dyDescent="0.3">
      <c r="B53" t="s">
        <v>64</v>
      </c>
      <c r="C53" t="s">
        <v>13</v>
      </c>
      <c r="D53">
        <v>34</v>
      </c>
      <c r="E53" t="s">
        <v>10</v>
      </c>
      <c r="F53" s="1">
        <v>44594</v>
      </c>
      <c r="G53" t="s">
        <v>21</v>
      </c>
      <c r="H53">
        <v>58940</v>
      </c>
    </row>
    <row r="54" spans="2:8" x14ac:dyDescent="0.3">
      <c r="B54" t="s">
        <v>65</v>
      </c>
      <c r="C54" t="s">
        <v>13</v>
      </c>
      <c r="D54">
        <v>28</v>
      </c>
      <c r="E54" t="s">
        <v>10</v>
      </c>
      <c r="F54" s="1">
        <v>44425</v>
      </c>
      <c r="G54" t="s">
        <v>16</v>
      </c>
      <c r="H54">
        <v>104770</v>
      </c>
    </row>
    <row r="55" spans="2:8" x14ac:dyDescent="0.3">
      <c r="B55" t="s">
        <v>66</v>
      </c>
      <c r="C55" t="s">
        <v>9</v>
      </c>
      <c r="D55">
        <v>21</v>
      </c>
      <c r="E55" t="s">
        <v>10</v>
      </c>
      <c r="F55" s="1">
        <v>44701</v>
      </c>
      <c r="G55" t="s">
        <v>16</v>
      </c>
      <c r="H55">
        <v>57090</v>
      </c>
    </row>
    <row r="56" spans="2:8" x14ac:dyDescent="0.3">
      <c r="B56" t="s">
        <v>67</v>
      </c>
      <c r="C56" t="s">
        <v>9</v>
      </c>
      <c r="D56">
        <v>27</v>
      </c>
      <c r="E56" t="s">
        <v>14</v>
      </c>
      <c r="F56" s="1">
        <v>44174</v>
      </c>
      <c r="G56" t="s">
        <v>21</v>
      </c>
      <c r="H56">
        <v>91650</v>
      </c>
    </row>
    <row r="57" spans="2:8" x14ac:dyDescent="0.3">
      <c r="B57" t="s">
        <v>68</v>
      </c>
      <c r="C57" t="s">
        <v>9</v>
      </c>
      <c r="D57">
        <v>42</v>
      </c>
      <c r="E57" t="s">
        <v>20</v>
      </c>
      <c r="F57" s="1">
        <v>44670</v>
      </c>
      <c r="G57" t="s">
        <v>21</v>
      </c>
      <c r="H57">
        <v>70270</v>
      </c>
    </row>
    <row r="58" spans="2:8" x14ac:dyDescent="0.3">
      <c r="B58" t="s">
        <v>69</v>
      </c>
      <c r="C58" t="s">
        <v>13</v>
      </c>
      <c r="D58">
        <v>28</v>
      </c>
      <c r="E58" t="s">
        <v>10</v>
      </c>
      <c r="F58" s="1">
        <v>44124</v>
      </c>
      <c r="G58" t="s">
        <v>21</v>
      </c>
      <c r="H58">
        <v>75970</v>
      </c>
    </row>
    <row r="59" spans="2:8" x14ac:dyDescent="0.3">
      <c r="B59" t="s">
        <v>70</v>
      </c>
      <c r="D59">
        <v>27</v>
      </c>
      <c r="E59" t="s">
        <v>14</v>
      </c>
      <c r="F59" s="1">
        <v>44212</v>
      </c>
      <c r="G59" t="s">
        <v>11</v>
      </c>
      <c r="H59">
        <v>90700</v>
      </c>
    </row>
    <row r="60" spans="2:8" x14ac:dyDescent="0.3">
      <c r="B60" t="s">
        <v>71</v>
      </c>
      <c r="C60" t="s">
        <v>9</v>
      </c>
      <c r="D60">
        <v>30</v>
      </c>
      <c r="E60" t="s">
        <v>10</v>
      </c>
      <c r="F60" s="1">
        <v>44607</v>
      </c>
      <c r="G60" t="s">
        <v>16</v>
      </c>
      <c r="H60">
        <v>60570</v>
      </c>
    </row>
    <row r="61" spans="2:8" x14ac:dyDescent="0.3">
      <c r="B61" t="s">
        <v>72</v>
      </c>
      <c r="C61" t="s">
        <v>9</v>
      </c>
      <c r="D61">
        <v>33</v>
      </c>
      <c r="E61" t="s">
        <v>10</v>
      </c>
      <c r="F61" s="1">
        <v>44103</v>
      </c>
      <c r="G61" t="s">
        <v>16</v>
      </c>
      <c r="H61">
        <v>115920</v>
      </c>
    </row>
    <row r="62" spans="2:8" x14ac:dyDescent="0.3">
      <c r="B62" t="s">
        <v>73</v>
      </c>
      <c r="C62" t="s">
        <v>13</v>
      </c>
      <c r="D62">
        <v>33</v>
      </c>
      <c r="E62" t="s">
        <v>10</v>
      </c>
      <c r="F62" s="1">
        <v>44006</v>
      </c>
      <c r="G62" t="s">
        <v>21</v>
      </c>
      <c r="H62">
        <v>65360</v>
      </c>
    </row>
    <row r="63" spans="2:8" x14ac:dyDescent="0.3">
      <c r="B63" t="s">
        <v>74</v>
      </c>
      <c r="D63">
        <v>30</v>
      </c>
      <c r="E63" t="s">
        <v>10</v>
      </c>
      <c r="F63" s="1">
        <v>44535</v>
      </c>
      <c r="G63" t="s">
        <v>21</v>
      </c>
      <c r="H63">
        <v>64000</v>
      </c>
    </row>
    <row r="64" spans="2:8" x14ac:dyDescent="0.3">
      <c r="B64" t="s">
        <v>75</v>
      </c>
      <c r="C64" t="s">
        <v>13</v>
      </c>
      <c r="D64">
        <v>34</v>
      </c>
      <c r="E64" t="s">
        <v>10</v>
      </c>
      <c r="F64" s="1">
        <v>44383</v>
      </c>
      <c r="G64" t="s">
        <v>21</v>
      </c>
      <c r="H64">
        <v>92450</v>
      </c>
    </row>
    <row r="65" spans="2:8" x14ac:dyDescent="0.3">
      <c r="B65" t="s">
        <v>76</v>
      </c>
      <c r="C65" t="s">
        <v>9</v>
      </c>
      <c r="D65">
        <v>31</v>
      </c>
      <c r="E65" t="s">
        <v>10</v>
      </c>
      <c r="F65" s="1">
        <v>44450</v>
      </c>
      <c r="G65" t="s">
        <v>11</v>
      </c>
      <c r="H65">
        <v>48950</v>
      </c>
    </row>
    <row r="66" spans="2:8" x14ac:dyDescent="0.3">
      <c r="B66" t="s">
        <v>77</v>
      </c>
      <c r="C66" t="s">
        <v>13</v>
      </c>
      <c r="D66">
        <v>27</v>
      </c>
      <c r="E66" t="s">
        <v>10</v>
      </c>
      <c r="F66" s="1">
        <v>44625</v>
      </c>
      <c r="G66" t="s">
        <v>11</v>
      </c>
      <c r="H66">
        <v>83750</v>
      </c>
    </row>
    <row r="67" spans="2:8" x14ac:dyDescent="0.3">
      <c r="B67" t="s">
        <v>78</v>
      </c>
      <c r="C67" t="s">
        <v>13</v>
      </c>
      <c r="D67">
        <v>40</v>
      </c>
      <c r="E67" t="s">
        <v>10</v>
      </c>
      <c r="F67" s="1">
        <v>44276</v>
      </c>
      <c r="G67" t="s">
        <v>11</v>
      </c>
      <c r="H67">
        <v>87620</v>
      </c>
    </row>
    <row r="68" spans="2:8" x14ac:dyDescent="0.3">
      <c r="B68" t="s">
        <v>79</v>
      </c>
      <c r="C68" t="s">
        <v>13</v>
      </c>
      <c r="D68">
        <v>20</v>
      </c>
      <c r="E68" t="s">
        <v>20</v>
      </c>
      <c r="F68" s="1">
        <v>44476</v>
      </c>
      <c r="G68" t="s">
        <v>23</v>
      </c>
      <c r="H68">
        <v>68900</v>
      </c>
    </row>
    <row r="69" spans="2:8" x14ac:dyDescent="0.3">
      <c r="B69" t="s">
        <v>80</v>
      </c>
      <c r="C69" t="s">
        <v>9</v>
      </c>
      <c r="D69">
        <v>32</v>
      </c>
      <c r="E69" t="s">
        <v>10</v>
      </c>
      <c r="F69" s="1">
        <v>44403</v>
      </c>
      <c r="G69" t="s">
        <v>23</v>
      </c>
      <c r="H69">
        <v>53540</v>
      </c>
    </row>
    <row r="70" spans="2:8" x14ac:dyDescent="0.3">
      <c r="B70" t="s">
        <v>81</v>
      </c>
      <c r="C70" t="s">
        <v>9</v>
      </c>
      <c r="D70">
        <v>28</v>
      </c>
      <c r="E70" t="s">
        <v>82</v>
      </c>
      <c r="F70" s="1">
        <v>44758</v>
      </c>
      <c r="G70" t="s">
        <v>23</v>
      </c>
      <c r="H70">
        <v>43510</v>
      </c>
    </row>
    <row r="71" spans="2:8" x14ac:dyDescent="0.3">
      <c r="B71" t="s">
        <v>83</v>
      </c>
      <c r="C71" t="s">
        <v>13</v>
      </c>
      <c r="D71">
        <v>38</v>
      </c>
      <c r="E71" t="s">
        <v>42</v>
      </c>
      <c r="F71" s="1">
        <v>44316</v>
      </c>
      <c r="G71" t="s">
        <v>23</v>
      </c>
      <c r="H71">
        <v>109160</v>
      </c>
    </row>
    <row r="72" spans="2:8" x14ac:dyDescent="0.3">
      <c r="B72" t="s">
        <v>84</v>
      </c>
      <c r="C72" t="s">
        <v>9</v>
      </c>
      <c r="D72">
        <v>40</v>
      </c>
      <c r="E72" t="s">
        <v>10</v>
      </c>
      <c r="F72" s="1">
        <v>44204</v>
      </c>
      <c r="G72" t="s">
        <v>16</v>
      </c>
      <c r="H72">
        <v>99750</v>
      </c>
    </row>
    <row r="73" spans="2:8" x14ac:dyDescent="0.3">
      <c r="B73" t="s">
        <v>85</v>
      </c>
      <c r="C73" t="s">
        <v>13</v>
      </c>
      <c r="D73">
        <v>31</v>
      </c>
      <c r="E73" t="s">
        <v>10</v>
      </c>
      <c r="F73" s="1">
        <v>44084</v>
      </c>
      <c r="G73" t="s">
        <v>11</v>
      </c>
      <c r="H73">
        <v>41980</v>
      </c>
    </row>
    <row r="74" spans="2:8" x14ac:dyDescent="0.3">
      <c r="B74" t="s">
        <v>86</v>
      </c>
      <c r="C74" t="s">
        <v>9</v>
      </c>
      <c r="D74">
        <v>36</v>
      </c>
      <c r="E74" t="s">
        <v>10</v>
      </c>
      <c r="F74" s="1">
        <v>44272</v>
      </c>
      <c r="G74" t="s">
        <v>21</v>
      </c>
      <c r="H74">
        <v>71380</v>
      </c>
    </row>
    <row r="75" spans="2:8" x14ac:dyDescent="0.3">
      <c r="B75" t="s">
        <v>87</v>
      </c>
      <c r="C75" t="s">
        <v>9</v>
      </c>
      <c r="D75">
        <v>27</v>
      </c>
      <c r="E75" t="s">
        <v>82</v>
      </c>
      <c r="F75" s="1">
        <v>44547</v>
      </c>
      <c r="G75" t="s">
        <v>16</v>
      </c>
      <c r="H75">
        <v>113280</v>
      </c>
    </row>
    <row r="76" spans="2:8" x14ac:dyDescent="0.3">
      <c r="B76" t="s">
        <v>88</v>
      </c>
      <c r="C76" t="s">
        <v>13</v>
      </c>
      <c r="D76">
        <v>33</v>
      </c>
      <c r="E76" t="s">
        <v>10</v>
      </c>
      <c r="F76" s="1">
        <v>44747</v>
      </c>
      <c r="G76" t="s">
        <v>21</v>
      </c>
      <c r="H76">
        <v>86570</v>
      </c>
    </row>
    <row r="77" spans="2:8" x14ac:dyDescent="0.3">
      <c r="B77" t="s">
        <v>89</v>
      </c>
      <c r="C77" t="s">
        <v>9</v>
      </c>
      <c r="D77">
        <v>26</v>
      </c>
      <c r="E77" t="s">
        <v>10</v>
      </c>
      <c r="F77" s="1">
        <v>44350</v>
      </c>
      <c r="G77" t="s">
        <v>16</v>
      </c>
      <c r="H77">
        <v>53540</v>
      </c>
    </row>
    <row r="78" spans="2:8" x14ac:dyDescent="0.3">
      <c r="B78" t="s">
        <v>90</v>
      </c>
      <c r="C78" t="s">
        <v>9</v>
      </c>
      <c r="D78">
        <v>37</v>
      </c>
      <c r="E78" t="s">
        <v>10</v>
      </c>
      <c r="F78" s="1">
        <v>44640</v>
      </c>
      <c r="G78" t="s">
        <v>11</v>
      </c>
      <c r="H78">
        <v>69070</v>
      </c>
    </row>
    <row r="79" spans="2:8" x14ac:dyDescent="0.3">
      <c r="B79" t="s">
        <v>91</v>
      </c>
      <c r="C79" t="s">
        <v>13</v>
      </c>
      <c r="D79">
        <v>30</v>
      </c>
      <c r="E79" t="s">
        <v>20</v>
      </c>
      <c r="F79" s="1">
        <v>44328</v>
      </c>
      <c r="G79" t="s">
        <v>21</v>
      </c>
      <c r="H79">
        <v>67910</v>
      </c>
    </row>
    <row r="80" spans="2:8" x14ac:dyDescent="0.3">
      <c r="B80" t="s">
        <v>92</v>
      </c>
      <c r="C80" t="s">
        <v>9</v>
      </c>
      <c r="D80">
        <v>30</v>
      </c>
      <c r="E80" t="s">
        <v>10</v>
      </c>
      <c r="F80" s="1">
        <v>44214</v>
      </c>
      <c r="G80" t="s">
        <v>11</v>
      </c>
      <c r="H80">
        <v>69120</v>
      </c>
    </row>
    <row r="81" spans="2:8" x14ac:dyDescent="0.3">
      <c r="B81" t="s">
        <v>93</v>
      </c>
      <c r="C81" t="s">
        <v>13</v>
      </c>
      <c r="D81">
        <v>34</v>
      </c>
      <c r="E81" t="s">
        <v>10</v>
      </c>
      <c r="F81" s="1">
        <v>44550</v>
      </c>
      <c r="G81" t="s">
        <v>21</v>
      </c>
      <c r="H81">
        <v>60130</v>
      </c>
    </row>
    <row r="82" spans="2:8" x14ac:dyDescent="0.3">
      <c r="B82" t="s">
        <v>94</v>
      </c>
      <c r="C82" t="s">
        <v>9</v>
      </c>
      <c r="D82">
        <v>23</v>
      </c>
      <c r="E82" t="s">
        <v>10</v>
      </c>
      <c r="F82" s="1">
        <v>44378</v>
      </c>
      <c r="G82" t="s">
        <v>16</v>
      </c>
      <c r="H82">
        <v>106460</v>
      </c>
    </row>
    <row r="83" spans="2:8" x14ac:dyDescent="0.3">
      <c r="B83" t="s">
        <v>95</v>
      </c>
      <c r="C83" t="s">
        <v>13</v>
      </c>
      <c r="D83">
        <v>37</v>
      </c>
      <c r="E83" t="s">
        <v>10</v>
      </c>
      <c r="F83" s="1">
        <v>44389</v>
      </c>
      <c r="G83" t="s">
        <v>18</v>
      </c>
      <c r="H83">
        <v>118100</v>
      </c>
    </row>
    <row r="84" spans="2:8" x14ac:dyDescent="0.3">
      <c r="B84" t="s">
        <v>96</v>
      </c>
      <c r="C84" t="s">
        <v>13</v>
      </c>
      <c r="D84">
        <v>36</v>
      </c>
      <c r="E84" t="s">
        <v>10</v>
      </c>
      <c r="F84" s="1">
        <v>44468</v>
      </c>
      <c r="G84" t="s">
        <v>16</v>
      </c>
      <c r="H84">
        <v>78390</v>
      </c>
    </row>
    <row r="85" spans="2:8" x14ac:dyDescent="0.3">
      <c r="B85" t="s">
        <v>97</v>
      </c>
      <c r="C85" t="s">
        <v>13</v>
      </c>
      <c r="D85">
        <v>30</v>
      </c>
      <c r="E85" t="s">
        <v>10</v>
      </c>
      <c r="F85" s="1">
        <v>44789</v>
      </c>
      <c r="G85" t="s">
        <v>16</v>
      </c>
      <c r="H85">
        <v>114180</v>
      </c>
    </row>
    <row r="86" spans="2:8" x14ac:dyDescent="0.3">
      <c r="B86" t="s">
        <v>98</v>
      </c>
      <c r="C86" t="s">
        <v>13</v>
      </c>
      <c r="D86">
        <v>28</v>
      </c>
      <c r="E86" t="s">
        <v>10</v>
      </c>
      <c r="F86" s="1">
        <v>44590</v>
      </c>
      <c r="G86" t="s">
        <v>16</v>
      </c>
      <c r="H86">
        <v>104120</v>
      </c>
    </row>
    <row r="87" spans="2:8" x14ac:dyDescent="0.3">
      <c r="B87" t="s">
        <v>99</v>
      </c>
      <c r="C87" t="s">
        <v>9</v>
      </c>
      <c r="D87">
        <v>30</v>
      </c>
      <c r="E87" t="s">
        <v>10</v>
      </c>
      <c r="F87" s="1">
        <v>44640</v>
      </c>
      <c r="G87" t="s">
        <v>16</v>
      </c>
      <c r="H87">
        <v>67950</v>
      </c>
    </row>
    <row r="88" spans="2:8" x14ac:dyDescent="0.3">
      <c r="B88" t="s">
        <v>100</v>
      </c>
      <c r="C88" t="s">
        <v>13</v>
      </c>
      <c r="D88">
        <v>29</v>
      </c>
      <c r="E88" t="s">
        <v>10</v>
      </c>
      <c r="F88" s="1">
        <v>43962</v>
      </c>
      <c r="G88" t="s">
        <v>11</v>
      </c>
      <c r="H88">
        <v>34980</v>
      </c>
    </row>
    <row r="89" spans="2:8" x14ac:dyDescent="0.3">
      <c r="B89" t="s">
        <v>101</v>
      </c>
      <c r="C89" t="s">
        <v>13</v>
      </c>
      <c r="D89">
        <v>24</v>
      </c>
      <c r="E89" t="s">
        <v>10</v>
      </c>
      <c r="F89" s="1">
        <v>44087</v>
      </c>
      <c r="G89" t="s">
        <v>11</v>
      </c>
      <c r="H89">
        <v>62780</v>
      </c>
    </row>
    <row r="90" spans="2:8" x14ac:dyDescent="0.3">
      <c r="B90" t="s">
        <v>102</v>
      </c>
      <c r="C90" t="s">
        <v>9</v>
      </c>
      <c r="D90">
        <v>20</v>
      </c>
      <c r="E90" t="s">
        <v>10</v>
      </c>
      <c r="F90" s="1">
        <v>44397</v>
      </c>
      <c r="G90" t="s">
        <v>11</v>
      </c>
      <c r="H90">
        <v>107700</v>
      </c>
    </row>
    <row r="91" spans="2:8" x14ac:dyDescent="0.3">
      <c r="B91" t="s">
        <v>103</v>
      </c>
      <c r="C91" t="s">
        <v>9</v>
      </c>
      <c r="D91">
        <v>25</v>
      </c>
      <c r="E91" t="s">
        <v>10</v>
      </c>
      <c r="F91" s="1">
        <v>44322</v>
      </c>
      <c r="G91" t="s">
        <v>23</v>
      </c>
      <c r="H91">
        <v>65700</v>
      </c>
    </row>
    <row r="92" spans="2:8" x14ac:dyDescent="0.3">
      <c r="B92" t="s">
        <v>104</v>
      </c>
      <c r="C92" t="s">
        <v>13</v>
      </c>
      <c r="D92">
        <v>33</v>
      </c>
      <c r="E92" t="s">
        <v>82</v>
      </c>
      <c r="F92" s="1">
        <v>44313</v>
      </c>
      <c r="G92" t="s">
        <v>11</v>
      </c>
      <c r="H92">
        <v>75480</v>
      </c>
    </row>
    <row r="93" spans="2:8" x14ac:dyDescent="0.3">
      <c r="B93" t="s">
        <v>105</v>
      </c>
      <c r="C93" t="s">
        <v>9</v>
      </c>
      <c r="D93">
        <v>33</v>
      </c>
      <c r="E93" t="s">
        <v>10</v>
      </c>
      <c r="F93" s="1">
        <v>44448</v>
      </c>
      <c r="G93" t="s">
        <v>11</v>
      </c>
      <c r="H93">
        <v>53870</v>
      </c>
    </row>
    <row r="94" spans="2:8" x14ac:dyDescent="0.3">
      <c r="B94" t="s">
        <v>106</v>
      </c>
      <c r="C94" t="s">
        <v>13</v>
      </c>
      <c r="D94">
        <v>36</v>
      </c>
      <c r="E94" t="s">
        <v>10</v>
      </c>
      <c r="F94" s="1">
        <v>44433</v>
      </c>
      <c r="G94" t="s">
        <v>23</v>
      </c>
      <c r="H94">
        <v>78540</v>
      </c>
    </row>
    <row r="95" spans="2:8" x14ac:dyDescent="0.3">
      <c r="B95" t="s">
        <v>107</v>
      </c>
      <c r="C95" t="s">
        <v>9</v>
      </c>
      <c r="D95">
        <v>19</v>
      </c>
      <c r="E95" t="s">
        <v>10</v>
      </c>
      <c r="F95" s="1">
        <v>44218</v>
      </c>
      <c r="G95" t="s">
        <v>16</v>
      </c>
      <c r="H95">
        <v>58960</v>
      </c>
    </row>
    <row r="96" spans="2:8" x14ac:dyDescent="0.3">
      <c r="B96" t="s">
        <v>108</v>
      </c>
      <c r="C96" t="s">
        <v>9</v>
      </c>
      <c r="D96">
        <v>46</v>
      </c>
      <c r="E96" t="s">
        <v>10</v>
      </c>
      <c r="F96" s="1">
        <v>44697</v>
      </c>
      <c r="G96" t="s">
        <v>16</v>
      </c>
      <c r="H96">
        <v>70610</v>
      </c>
    </row>
    <row r="97" spans="2:8" x14ac:dyDescent="0.3">
      <c r="B97" t="s">
        <v>109</v>
      </c>
      <c r="C97" t="s">
        <v>9</v>
      </c>
      <c r="D97">
        <v>33</v>
      </c>
      <c r="E97" t="s">
        <v>10</v>
      </c>
      <c r="F97" s="1">
        <v>44181</v>
      </c>
      <c r="G97" t="s">
        <v>21</v>
      </c>
      <c r="H97">
        <v>59430</v>
      </c>
    </row>
    <row r="98" spans="2:8" x14ac:dyDescent="0.3">
      <c r="B98" t="s">
        <v>110</v>
      </c>
      <c r="C98" t="s">
        <v>9</v>
      </c>
      <c r="D98">
        <v>33</v>
      </c>
      <c r="E98" t="s">
        <v>14</v>
      </c>
      <c r="F98" s="1">
        <v>44640</v>
      </c>
      <c r="G98" t="s">
        <v>16</v>
      </c>
      <c r="H98">
        <v>48530</v>
      </c>
    </row>
    <row r="99" spans="2:8" x14ac:dyDescent="0.3">
      <c r="B99" t="s">
        <v>111</v>
      </c>
      <c r="C99" t="s">
        <v>13</v>
      </c>
      <c r="D99">
        <v>33</v>
      </c>
      <c r="E99" t="s">
        <v>10</v>
      </c>
      <c r="F99" s="1">
        <v>44129</v>
      </c>
      <c r="G99" t="s">
        <v>11</v>
      </c>
      <c r="H99">
        <v>96140</v>
      </c>
    </row>
    <row r="100" spans="2:8" x14ac:dyDescent="0.3">
      <c r="B100" t="s">
        <v>8</v>
      </c>
      <c r="C100" t="s">
        <v>9</v>
      </c>
      <c r="D100">
        <v>20</v>
      </c>
      <c r="E100" t="s">
        <v>10</v>
      </c>
      <c r="F100" s="1">
        <v>44122</v>
      </c>
      <c r="G100" t="s">
        <v>11</v>
      </c>
      <c r="H100">
        <v>112650</v>
      </c>
    </row>
    <row r="101" spans="2:8" x14ac:dyDescent="0.3">
      <c r="B101" t="s">
        <v>12</v>
      </c>
      <c r="C101" t="s">
        <v>13</v>
      </c>
      <c r="D101">
        <v>32</v>
      </c>
      <c r="E101" t="s">
        <v>14</v>
      </c>
      <c r="F101" s="1">
        <v>44293</v>
      </c>
      <c r="G101" t="s">
        <v>11</v>
      </c>
      <c r="H101">
        <v>43840</v>
      </c>
    </row>
    <row r="102" spans="2:8" x14ac:dyDescent="0.3">
      <c r="B102" t="s">
        <v>15</v>
      </c>
      <c r="C102" t="s">
        <v>9</v>
      </c>
      <c r="D102">
        <v>31</v>
      </c>
      <c r="E102" t="s">
        <v>10</v>
      </c>
      <c r="F102" s="1">
        <v>44663</v>
      </c>
      <c r="G102" t="s">
        <v>16</v>
      </c>
      <c r="H102">
        <v>103550</v>
      </c>
    </row>
    <row r="103" spans="2:8" x14ac:dyDescent="0.3">
      <c r="B103" t="s">
        <v>17</v>
      </c>
      <c r="C103" t="s">
        <v>13</v>
      </c>
      <c r="D103">
        <v>32</v>
      </c>
      <c r="E103" t="s">
        <v>10</v>
      </c>
      <c r="F103" s="1">
        <v>44339</v>
      </c>
      <c r="G103" t="s">
        <v>18</v>
      </c>
      <c r="H103">
        <v>45510</v>
      </c>
    </row>
    <row r="104" spans="2:8" x14ac:dyDescent="0.3">
      <c r="B104" t="s">
        <v>19</v>
      </c>
      <c r="D104">
        <v>37</v>
      </c>
      <c r="E104" t="s">
        <v>20</v>
      </c>
      <c r="F104" s="1">
        <v>44085</v>
      </c>
      <c r="G104" t="s">
        <v>21</v>
      </c>
      <c r="H104">
        <v>115440</v>
      </c>
    </row>
    <row r="105" spans="2:8" x14ac:dyDescent="0.3">
      <c r="B105" t="s">
        <v>22</v>
      </c>
      <c r="C105" t="s">
        <v>13</v>
      </c>
      <c r="D105">
        <v>38</v>
      </c>
      <c r="E105" t="s">
        <v>14</v>
      </c>
      <c r="F105" s="1">
        <v>44268</v>
      </c>
      <c r="G105" t="s">
        <v>23</v>
      </c>
      <c r="H105">
        <v>56870</v>
      </c>
    </row>
    <row r="106" spans="2:8" x14ac:dyDescent="0.3">
      <c r="B106" t="s">
        <v>24</v>
      </c>
      <c r="C106" t="s">
        <v>13</v>
      </c>
      <c r="D106">
        <v>25</v>
      </c>
      <c r="E106" t="s">
        <v>10</v>
      </c>
      <c r="F106" s="1">
        <v>44144</v>
      </c>
      <c r="G106" t="s">
        <v>23</v>
      </c>
      <c r="H106">
        <v>92700</v>
      </c>
    </row>
    <row r="107" spans="2:8" x14ac:dyDescent="0.3">
      <c r="B107" t="s">
        <v>25</v>
      </c>
      <c r="D107">
        <v>32</v>
      </c>
      <c r="E107" t="s">
        <v>10</v>
      </c>
      <c r="F107" s="1">
        <v>44713</v>
      </c>
      <c r="G107" t="s">
        <v>11</v>
      </c>
      <c r="H107">
        <v>91310</v>
      </c>
    </row>
    <row r="108" spans="2:8" x14ac:dyDescent="0.3">
      <c r="B108" t="s">
        <v>26</v>
      </c>
      <c r="C108" t="s">
        <v>9</v>
      </c>
      <c r="D108">
        <v>33</v>
      </c>
      <c r="E108" t="s">
        <v>10</v>
      </c>
      <c r="F108" s="1">
        <v>44324</v>
      </c>
      <c r="G108" t="s">
        <v>23</v>
      </c>
      <c r="H108">
        <v>74550</v>
      </c>
    </row>
    <row r="109" spans="2:8" x14ac:dyDescent="0.3">
      <c r="B109" t="s">
        <v>27</v>
      </c>
      <c r="C109" t="s">
        <v>9</v>
      </c>
      <c r="D109">
        <v>25</v>
      </c>
      <c r="E109" t="s">
        <v>14</v>
      </c>
      <c r="F109" s="1">
        <v>44665</v>
      </c>
      <c r="G109" t="s">
        <v>16</v>
      </c>
      <c r="H109">
        <v>109190</v>
      </c>
    </row>
    <row r="110" spans="2:8" x14ac:dyDescent="0.3">
      <c r="B110" t="s">
        <v>28</v>
      </c>
      <c r="C110" t="s">
        <v>13</v>
      </c>
      <c r="D110">
        <v>40</v>
      </c>
      <c r="E110" t="s">
        <v>10</v>
      </c>
      <c r="F110" s="1">
        <v>44320</v>
      </c>
      <c r="G110" t="s">
        <v>11</v>
      </c>
      <c r="H110">
        <v>104410</v>
      </c>
    </row>
    <row r="111" spans="2:8" x14ac:dyDescent="0.3">
      <c r="B111" t="s">
        <v>29</v>
      </c>
      <c r="C111" t="s">
        <v>9</v>
      </c>
      <c r="D111">
        <v>30</v>
      </c>
      <c r="E111" t="s">
        <v>10</v>
      </c>
      <c r="F111" s="1">
        <v>44544</v>
      </c>
      <c r="G111" t="s">
        <v>21</v>
      </c>
      <c r="H111">
        <v>96800</v>
      </c>
    </row>
    <row r="112" spans="2:8" x14ac:dyDescent="0.3">
      <c r="B112" t="s">
        <v>30</v>
      </c>
      <c r="C112" t="s">
        <v>9</v>
      </c>
      <c r="D112">
        <v>28</v>
      </c>
      <c r="E112" t="s">
        <v>14</v>
      </c>
      <c r="F112" s="1">
        <v>43980</v>
      </c>
      <c r="G112" t="s">
        <v>21</v>
      </c>
      <c r="H112">
        <v>48170</v>
      </c>
    </row>
    <row r="113" spans="2:8" x14ac:dyDescent="0.3">
      <c r="B113" t="s">
        <v>31</v>
      </c>
      <c r="C113" t="s">
        <v>9</v>
      </c>
      <c r="D113">
        <v>21</v>
      </c>
      <c r="E113" t="s">
        <v>10</v>
      </c>
      <c r="F113" s="1">
        <v>44042</v>
      </c>
      <c r="G113" t="s">
        <v>16</v>
      </c>
      <c r="H113">
        <v>37920</v>
      </c>
    </row>
    <row r="114" spans="2:8" x14ac:dyDescent="0.3">
      <c r="B114" t="s">
        <v>32</v>
      </c>
      <c r="C114" t="s">
        <v>9</v>
      </c>
      <c r="D114">
        <v>34</v>
      </c>
      <c r="E114" t="s">
        <v>10</v>
      </c>
      <c r="F114" s="1">
        <v>44642</v>
      </c>
      <c r="G114" t="s">
        <v>16</v>
      </c>
      <c r="H114">
        <v>112650</v>
      </c>
    </row>
    <row r="115" spans="2:8" x14ac:dyDescent="0.3">
      <c r="B115" t="s">
        <v>33</v>
      </c>
      <c r="C115" t="s">
        <v>13</v>
      </c>
      <c r="D115">
        <v>34</v>
      </c>
      <c r="E115" t="s">
        <v>20</v>
      </c>
      <c r="F115" s="1">
        <v>44660</v>
      </c>
      <c r="G115" t="s">
        <v>23</v>
      </c>
      <c r="H115">
        <v>49630</v>
      </c>
    </row>
    <row r="116" spans="2:8" x14ac:dyDescent="0.3">
      <c r="B116" t="s">
        <v>34</v>
      </c>
      <c r="C116" t="s">
        <v>9</v>
      </c>
      <c r="D116">
        <v>36</v>
      </c>
      <c r="E116" t="s">
        <v>10</v>
      </c>
      <c r="F116" s="1">
        <v>43958</v>
      </c>
      <c r="G116" t="s">
        <v>11</v>
      </c>
      <c r="H116">
        <v>118840</v>
      </c>
    </row>
    <row r="117" spans="2:8" x14ac:dyDescent="0.3">
      <c r="B117" t="s">
        <v>35</v>
      </c>
      <c r="C117" t="s">
        <v>9</v>
      </c>
      <c r="D117">
        <v>30</v>
      </c>
      <c r="E117" t="s">
        <v>10</v>
      </c>
      <c r="F117" s="1">
        <v>44789</v>
      </c>
      <c r="G117" t="s">
        <v>11</v>
      </c>
      <c r="H117">
        <v>69710</v>
      </c>
    </row>
    <row r="118" spans="2:8" x14ac:dyDescent="0.3">
      <c r="B118" t="s">
        <v>36</v>
      </c>
      <c r="C118" t="s">
        <v>9</v>
      </c>
      <c r="D118">
        <v>20</v>
      </c>
      <c r="E118" t="s">
        <v>10</v>
      </c>
      <c r="F118" s="1">
        <v>44683</v>
      </c>
      <c r="G118" t="s">
        <v>16</v>
      </c>
      <c r="H118">
        <v>79570</v>
      </c>
    </row>
    <row r="119" spans="2:8" x14ac:dyDescent="0.3">
      <c r="B119" t="s">
        <v>37</v>
      </c>
      <c r="C119" t="s">
        <v>13</v>
      </c>
      <c r="D119">
        <v>22</v>
      </c>
      <c r="E119" t="s">
        <v>14</v>
      </c>
      <c r="F119" s="1">
        <v>44388</v>
      </c>
      <c r="G119" t="s">
        <v>16</v>
      </c>
      <c r="H119">
        <v>76900</v>
      </c>
    </row>
  </sheetData>
  <mergeCells count="1">
    <mergeCell ref="A1:XFD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P187"/>
  <sheetViews>
    <sheetView topLeftCell="A5" zoomScale="90" zoomScaleNormal="90" workbookViewId="0">
      <selection activeCell="B4" sqref="B4:K187"/>
    </sheetView>
  </sheetViews>
  <sheetFormatPr defaultRowHeight="14.4" x14ac:dyDescent="0.3"/>
  <cols>
    <col min="2" max="2" width="27.21875" bestFit="1" customWidth="1"/>
    <col min="3" max="3" width="9.33203125" bestFit="1" customWidth="1"/>
    <col min="4" max="4" width="6.44140625" bestFit="1" customWidth="1"/>
    <col min="5" max="5" width="13.109375" bestFit="1" customWidth="1"/>
    <col min="6" max="6" width="13" bestFit="1" customWidth="1"/>
    <col min="7" max="7" width="13.33203125" bestFit="1" customWidth="1"/>
    <col min="8" max="8" width="13.109375" bestFit="1" customWidth="1"/>
    <col min="9" max="9" width="10" bestFit="1" customWidth="1"/>
    <col min="10" max="10" width="10.33203125" bestFit="1" customWidth="1"/>
    <col min="11" max="12" width="10.33203125" customWidth="1"/>
    <col min="13" max="13" width="18.88671875" customWidth="1"/>
    <col min="14" max="14" width="13.33203125" bestFit="1" customWidth="1"/>
    <col min="15" max="15" width="10.33203125" bestFit="1" customWidth="1"/>
    <col min="16" max="16" width="18.5546875" customWidth="1"/>
  </cols>
  <sheetData>
    <row r="2" spans="2:16" x14ac:dyDescent="0.3">
      <c r="N2" s="49" t="s">
        <v>209</v>
      </c>
      <c r="O2" s="49"/>
      <c r="P2" s="49"/>
    </row>
    <row r="3" spans="2:16" x14ac:dyDescent="0.3">
      <c r="N3" s="7" t="s">
        <v>210</v>
      </c>
      <c r="O3" s="7"/>
      <c r="P3" s="7"/>
    </row>
    <row r="4" spans="2:16" x14ac:dyDescent="0.3">
      <c r="B4" s="5" t="s">
        <v>1</v>
      </c>
      <c r="C4" s="5" t="s">
        <v>2</v>
      </c>
      <c r="D4" s="5" t="s">
        <v>3</v>
      </c>
      <c r="E4" s="5" t="s">
        <v>4</v>
      </c>
      <c r="F4" s="5" t="s">
        <v>5</v>
      </c>
      <c r="G4" s="5" t="s">
        <v>6</v>
      </c>
      <c r="H4" s="5" t="s">
        <v>7</v>
      </c>
      <c r="I4" s="5" t="s">
        <v>205</v>
      </c>
      <c r="J4" t="s">
        <v>222</v>
      </c>
      <c r="K4" t="s">
        <v>245</v>
      </c>
      <c r="N4" s="7" t="s">
        <v>211</v>
      </c>
      <c r="O4" s="7"/>
      <c r="P4" s="7"/>
    </row>
    <row r="5" spans="2:16" x14ac:dyDescent="0.3">
      <c r="B5" s="5" t="s">
        <v>62</v>
      </c>
      <c r="C5" s="5" t="s">
        <v>13</v>
      </c>
      <c r="D5" s="5">
        <v>21</v>
      </c>
      <c r="E5" s="5" t="s">
        <v>10</v>
      </c>
      <c r="F5" s="6">
        <v>44619</v>
      </c>
      <c r="G5" s="5" t="s">
        <v>11</v>
      </c>
      <c r="H5" s="28">
        <v>33920</v>
      </c>
      <c r="I5" s="5" t="s">
        <v>206</v>
      </c>
      <c r="J5" s="9">
        <f ca="1">(TODAY()-Combined_table[[#This Row],[Date Joined]])/365</f>
        <v>3.9205479452054797</v>
      </c>
      <c r="K5" s="5">
        <f>IF(Combined_table[[#This Row],[Rating]]="Exceptional",5,
IF(Combined_table[[#This Row],[Rating]]="Above Average",4,
IF(Combined_table[[#This Row],[Rating]]="Average",3,
IF(Combined_table[[#This Row],[Rating]]="Poor",2,
IF(Combined_table[[#This Row],[Rating]]="Very Poor",1,"")))))</f>
        <v>3</v>
      </c>
      <c r="L5" s="5"/>
      <c r="N5" s="7" t="s">
        <v>212</v>
      </c>
      <c r="O5" s="7"/>
      <c r="P5" s="7"/>
    </row>
    <row r="6" spans="2:16" x14ac:dyDescent="0.3">
      <c r="B6" s="5" t="s">
        <v>187</v>
      </c>
      <c r="C6" s="5" t="s">
        <v>13</v>
      </c>
      <c r="D6" s="5">
        <v>21</v>
      </c>
      <c r="E6" s="5" t="s">
        <v>10</v>
      </c>
      <c r="F6" s="6">
        <v>44678</v>
      </c>
      <c r="G6" s="5" t="s">
        <v>11</v>
      </c>
      <c r="H6" s="28">
        <v>33920</v>
      </c>
      <c r="I6" s="5" t="s">
        <v>208</v>
      </c>
      <c r="J6" s="9">
        <f ca="1">(TODAY()-Combined_table[[#This Row],[Date Joined]])/365</f>
        <v>3.7589041095890412</v>
      </c>
      <c r="K6" s="5">
        <f>IF(Combined_table[[#This Row],[Rating]]="Exceptional",5,
IF(Combined_table[[#This Row],[Rating]]="Above Average",4,
IF(Combined_table[[#This Row],[Rating]]="Average",3,
IF(Combined_table[[#This Row],[Rating]]="Poor",2,
IF(Combined_table[[#This Row],[Rating]]="Very Poor",1,"")))))</f>
        <v>3</v>
      </c>
      <c r="L6" s="5"/>
      <c r="N6" s="7" t="s">
        <v>213</v>
      </c>
      <c r="O6" s="7"/>
      <c r="P6" s="7"/>
    </row>
    <row r="7" spans="2:16" x14ac:dyDescent="0.3">
      <c r="B7" s="5" t="s">
        <v>100</v>
      </c>
      <c r="C7" s="5" t="s">
        <v>13</v>
      </c>
      <c r="D7" s="5">
        <v>29</v>
      </c>
      <c r="E7" s="5" t="s">
        <v>10</v>
      </c>
      <c r="F7" s="6">
        <v>43962</v>
      </c>
      <c r="G7" s="5" t="s">
        <v>11</v>
      </c>
      <c r="H7" s="28">
        <v>34980</v>
      </c>
      <c r="I7" s="5" t="s">
        <v>206</v>
      </c>
      <c r="J7" s="9">
        <f ca="1">(TODAY()-Combined_table[[#This Row],[Date Joined]])/365</f>
        <v>5.720547945205479</v>
      </c>
      <c r="K7" s="5">
        <f>IF(Combined_table[[#This Row],[Rating]]="Exceptional",5,
IF(Combined_table[[#This Row],[Rating]]="Above Average",4,
IF(Combined_table[[#This Row],[Rating]]="Average",3,
IF(Combined_table[[#This Row],[Rating]]="Poor",2,
IF(Combined_table[[#This Row],[Rating]]="Very Poor",1,"")))))</f>
        <v>3</v>
      </c>
      <c r="L7" s="5"/>
      <c r="N7" s="7" t="s">
        <v>214</v>
      </c>
      <c r="O7" s="7"/>
      <c r="P7" s="7"/>
    </row>
    <row r="8" spans="2:16" x14ac:dyDescent="0.3">
      <c r="B8" s="5" t="s">
        <v>140</v>
      </c>
      <c r="C8" s="5" t="s">
        <v>13</v>
      </c>
      <c r="D8" s="5">
        <v>29</v>
      </c>
      <c r="E8" s="5" t="s">
        <v>10</v>
      </c>
      <c r="F8" s="6">
        <v>44023</v>
      </c>
      <c r="G8" s="5" t="s">
        <v>11</v>
      </c>
      <c r="H8" s="28">
        <v>34980</v>
      </c>
      <c r="I8" s="5" t="s">
        <v>208</v>
      </c>
      <c r="J8" s="9">
        <f ca="1">(TODAY()-Combined_table[[#This Row],[Date Joined]])/365</f>
        <v>5.5534246575342463</v>
      </c>
      <c r="K8" s="5">
        <f>IF(Combined_table[[#This Row],[Rating]]="Exceptional",5,
IF(Combined_table[[#This Row],[Rating]]="Above Average",4,
IF(Combined_table[[#This Row],[Rating]]="Average",3,
IF(Combined_table[[#This Row],[Rating]]="Poor",2,
IF(Combined_table[[#This Row],[Rating]]="Very Poor",1,"")))))</f>
        <v>3</v>
      </c>
      <c r="L8" s="5"/>
    </row>
    <row r="9" spans="2:16" x14ac:dyDescent="0.3">
      <c r="B9" s="5" t="s">
        <v>40</v>
      </c>
      <c r="C9" s="5" t="s">
        <v>9</v>
      </c>
      <c r="D9" s="5">
        <v>43</v>
      </c>
      <c r="E9" s="5" t="s">
        <v>10</v>
      </c>
      <c r="F9" s="6">
        <v>44558</v>
      </c>
      <c r="G9" s="5" t="s">
        <v>23</v>
      </c>
      <c r="H9" s="28">
        <v>36040</v>
      </c>
      <c r="I9" s="5" t="s">
        <v>206</v>
      </c>
      <c r="J9" s="9">
        <f ca="1">(TODAY()-Combined_table[[#This Row],[Date Joined]])/365</f>
        <v>4.087671232876712</v>
      </c>
      <c r="K9" s="5">
        <f>IF(Combined_table[[#This Row],[Rating]]="Exceptional",5,
IF(Combined_table[[#This Row],[Rating]]="Above Average",4,
IF(Combined_table[[#This Row],[Rating]]="Average",3,
IF(Combined_table[[#This Row],[Rating]]="Poor",2,
IF(Combined_table[[#This Row],[Rating]]="Very Poor",1,"")))))</f>
        <v>3</v>
      </c>
      <c r="L9" s="5"/>
    </row>
    <row r="10" spans="2:16" x14ac:dyDescent="0.3">
      <c r="B10" s="5" t="s">
        <v>191</v>
      </c>
      <c r="C10" s="5" t="s">
        <v>9</v>
      </c>
      <c r="D10" s="5">
        <v>43</v>
      </c>
      <c r="E10" s="5" t="s">
        <v>10</v>
      </c>
      <c r="F10" s="6">
        <v>44620</v>
      </c>
      <c r="G10" s="5" t="s">
        <v>23</v>
      </c>
      <c r="H10" s="28">
        <v>36040</v>
      </c>
      <c r="I10" s="5" t="s">
        <v>208</v>
      </c>
      <c r="J10" s="9">
        <f ca="1">(TODAY()-Combined_table[[#This Row],[Date Joined]])/365</f>
        <v>3.9178082191780823</v>
      </c>
      <c r="K10" s="5">
        <f>IF(Combined_table[[#This Row],[Rating]]="Exceptional",5,
IF(Combined_table[[#This Row],[Rating]]="Above Average",4,
IF(Combined_table[[#This Row],[Rating]]="Average",3,
IF(Combined_table[[#This Row],[Rating]]="Poor",2,
IF(Combined_table[[#This Row],[Rating]]="Very Poor",1,"")))))</f>
        <v>3</v>
      </c>
      <c r="L10" s="5"/>
    </row>
    <row r="11" spans="2:16" x14ac:dyDescent="0.3">
      <c r="B11" s="5" t="s">
        <v>31</v>
      </c>
      <c r="C11" s="5" t="s">
        <v>9</v>
      </c>
      <c r="D11" s="5">
        <v>21</v>
      </c>
      <c r="E11" s="5" t="s">
        <v>10</v>
      </c>
      <c r="F11" s="6">
        <v>44042</v>
      </c>
      <c r="G11" s="5" t="s">
        <v>16</v>
      </c>
      <c r="H11" s="28">
        <v>37920</v>
      </c>
      <c r="I11" s="5" t="s">
        <v>206</v>
      </c>
      <c r="J11" s="9">
        <f ca="1">(TODAY()-Combined_table[[#This Row],[Date Joined]])/365</f>
        <v>5.5013698630136982</v>
      </c>
      <c r="K11" s="5">
        <f>IF(Combined_table[[#This Row],[Rating]]="Exceptional",5,
IF(Combined_table[[#This Row],[Rating]]="Above Average",4,
IF(Combined_table[[#This Row],[Rating]]="Average",3,
IF(Combined_table[[#This Row],[Rating]]="Poor",2,
IF(Combined_table[[#This Row],[Rating]]="Very Poor",1,"")))))</f>
        <v>3</v>
      </c>
      <c r="L11" s="5"/>
    </row>
    <row r="12" spans="2:16" x14ac:dyDescent="0.3">
      <c r="B12" s="5" t="s">
        <v>129</v>
      </c>
      <c r="C12" s="5" t="s">
        <v>9</v>
      </c>
      <c r="D12" s="5">
        <v>21</v>
      </c>
      <c r="E12" s="5" t="s">
        <v>10</v>
      </c>
      <c r="F12" s="6">
        <v>44104</v>
      </c>
      <c r="G12" s="5" t="s">
        <v>16</v>
      </c>
      <c r="H12" s="28">
        <v>37920</v>
      </c>
      <c r="I12" s="5" t="s">
        <v>208</v>
      </c>
      <c r="J12" s="9">
        <f ca="1">(TODAY()-Combined_table[[#This Row],[Date Joined]])/365</f>
        <v>5.3315068493150681</v>
      </c>
      <c r="K12" s="5">
        <f>IF(Combined_table[[#This Row],[Rating]]="Exceptional",5,
IF(Combined_table[[#This Row],[Rating]]="Above Average",4,
IF(Combined_table[[#This Row],[Rating]]="Average",3,
IF(Combined_table[[#This Row],[Rating]]="Poor",2,
IF(Combined_table[[#This Row],[Rating]]="Very Poor",1,"")))))</f>
        <v>3</v>
      </c>
      <c r="L12" s="5"/>
    </row>
    <row r="13" spans="2:16" x14ac:dyDescent="0.3">
      <c r="B13" s="5" t="s">
        <v>43</v>
      </c>
      <c r="C13" s="5" t="s">
        <v>9</v>
      </c>
      <c r="D13" s="5">
        <v>35</v>
      </c>
      <c r="E13" s="5" t="s">
        <v>10</v>
      </c>
      <c r="F13" s="6">
        <v>44666</v>
      </c>
      <c r="G13" s="5" t="s">
        <v>16</v>
      </c>
      <c r="H13" s="28">
        <v>40400</v>
      </c>
      <c r="I13" s="5" t="s">
        <v>206</v>
      </c>
      <c r="J13" s="9">
        <f ca="1">(TODAY()-Combined_table[[#This Row],[Date Joined]])/365</f>
        <v>3.7917808219178082</v>
      </c>
      <c r="K13" s="5">
        <f>IF(Combined_table[[#This Row],[Rating]]="Exceptional",5,
IF(Combined_table[[#This Row],[Rating]]="Above Average",4,
IF(Combined_table[[#This Row],[Rating]]="Average",3,
IF(Combined_table[[#This Row],[Rating]]="Poor",2,
IF(Combined_table[[#This Row],[Rating]]="Very Poor",1,"")))))</f>
        <v>3</v>
      </c>
      <c r="L13" s="5"/>
      <c r="M13" s="50" t="s">
        <v>220</v>
      </c>
      <c r="N13" s="50"/>
    </row>
    <row r="14" spans="2:16" x14ac:dyDescent="0.3">
      <c r="B14" s="5" t="s">
        <v>189</v>
      </c>
      <c r="C14" s="5" t="s">
        <v>9</v>
      </c>
      <c r="D14" s="5">
        <v>35</v>
      </c>
      <c r="E14" s="5" t="s">
        <v>10</v>
      </c>
      <c r="F14" s="6">
        <v>44727</v>
      </c>
      <c r="G14" s="5" t="s">
        <v>16</v>
      </c>
      <c r="H14" s="28">
        <v>40400</v>
      </c>
      <c r="I14" s="5" t="s">
        <v>208</v>
      </c>
      <c r="J14" s="9">
        <f ca="1">(TODAY()-Combined_table[[#This Row],[Date Joined]])/365</f>
        <v>3.6246575342465754</v>
      </c>
      <c r="K14" s="5">
        <f>IF(Combined_table[[#This Row],[Rating]]="Exceptional",5,
IF(Combined_table[[#This Row],[Rating]]="Above Average",4,
IF(Combined_table[[#This Row],[Rating]]="Average",3,
IF(Combined_table[[#This Row],[Rating]]="Poor",2,
IF(Combined_table[[#This Row],[Rating]]="Very Poor",1,"")))))</f>
        <v>3</v>
      </c>
      <c r="L14" s="5"/>
      <c r="M14" s="15" t="s">
        <v>215</v>
      </c>
      <c r="N14">
        <f>COUNTA(Combined_table[Name])</f>
        <v>183</v>
      </c>
    </row>
    <row r="15" spans="2:16" x14ac:dyDescent="0.3">
      <c r="B15" s="5" t="s">
        <v>47</v>
      </c>
      <c r="C15" s="5" t="s">
        <v>13</v>
      </c>
      <c r="D15" s="5">
        <v>32</v>
      </c>
      <c r="E15" s="5" t="s">
        <v>10</v>
      </c>
      <c r="F15" s="6">
        <v>44549</v>
      </c>
      <c r="G15" s="5" t="s">
        <v>16</v>
      </c>
      <c r="H15" s="28">
        <v>41570</v>
      </c>
      <c r="I15" s="5" t="s">
        <v>206</v>
      </c>
      <c r="J15" s="9">
        <f ca="1">(TODAY()-Combined_table[[#This Row],[Date Joined]])/365</f>
        <v>4.1123287671232873</v>
      </c>
      <c r="K15" s="5">
        <f>IF(Combined_table[[#This Row],[Rating]]="Exceptional",5,
IF(Combined_table[[#This Row],[Rating]]="Above Average",4,
IF(Combined_table[[#This Row],[Rating]]="Average",3,
IF(Combined_table[[#This Row],[Rating]]="Poor",2,
IF(Combined_table[[#This Row],[Rating]]="Very Poor",1,"")))))</f>
        <v>3</v>
      </c>
      <c r="L15" s="5"/>
      <c r="M15" s="15" t="s">
        <v>216</v>
      </c>
      <c r="N15" s="17">
        <f>AVERAGE(Combined_table[Salary])</f>
        <v>77173.715846994543</v>
      </c>
      <c r="O15" s="8" t="s">
        <v>221</v>
      </c>
      <c r="P15">
        <f>MEDIAN(Combined_table[Salary])</f>
        <v>75000</v>
      </c>
    </row>
    <row r="16" spans="2:16" x14ac:dyDescent="0.3">
      <c r="B16" s="5" t="s">
        <v>198</v>
      </c>
      <c r="C16" s="5" t="s">
        <v>13</v>
      </c>
      <c r="D16" s="5">
        <v>32</v>
      </c>
      <c r="E16" s="5" t="s">
        <v>10</v>
      </c>
      <c r="F16" s="6">
        <v>44611</v>
      </c>
      <c r="G16" s="5" t="s">
        <v>16</v>
      </c>
      <c r="H16" s="28">
        <v>41570</v>
      </c>
      <c r="I16" s="5" t="s">
        <v>208</v>
      </c>
      <c r="J16" s="9">
        <f ca="1">(TODAY()-Combined_table[[#This Row],[Date Joined]])/365</f>
        <v>3.9424657534246577</v>
      </c>
      <c r="K16" s="5">
        <f>IF(Combined_table[[#This Row],[Rating]]="Exceptional",5,
IF(Combined_table[[#This Row],[Rating]]="Above Average",4,
IF(Combined_table[[#This Row],[Rating]]="Average",3,
IF(Combined_table[[#This Row],[Rating]]="Poor",2,
IF(Combined_table[[#This Row],[Rating]]="Very Poor",1,"")))))</f>
        <v>3</v>
      </c>
      <c r="L16" s="5"/>
      <c r="M16" s="15" t="s">
        <v>217</v>
      </c>
      <c r="N16">
        <f>AVERAGE(Combined_table[Age])</f>
        <v>30.42622950819672</v>
      </c>
      <c r="O16" s="8" t="s">
        <v>221</v>
      </c>
      <c r="P16">
        <f>MEDIAN(Combined_table[Age])</f>
        <v>30</v>
      </c>
    </row>
    <row r="17" spans="2:14" x14ac:dyDescent="0.3">
      <c r="B17" s="5" t="s">
        <v>85</v>
      </c>
      <c r="C17" s="5" t="s">
        <v>13</v>
      </c>
      <c r="D17" s="5">
        <v>31</v>
      </c>
      <c r="E17" s="5" t="s">
        <v>10</v>
      </c>
      <c r="F17" s="6">
        <v>44084</v>
      </c>
      <c r="G17" s="5" t="s">
        <v>11</v>
      </c>
      <c r="H17" s="28">
        <v>41980</v>
      </c>
      <c r="I17" s="5" t="s">
        <v>206</v>
      </c>
      <c r="J17" s="9">
        <f ca="1">(TODAY()-Combined_table[[#This Row],[Date Joined]])/365</f>
        <v>5.3863013698630136</v>
      </c>
      <c r="K17" s="5">
        <f>IF(Combined_table[[#This Row],[Rating]]="Exceptional",5,
IF(Combined_table[[#This Row],[Rating]]="Above Average",4,
IF(Combined_table[[#This Row],[Rating]]="Average",3,
IF(Combined_table[[#This Row],[Rating]]="Poor",2,
IF(Combined_table[[#This Row],[Rating]]="Very Poor",1,"")))))</f>
        <v>3</v>
      </c>
      <c r="L17" s="5"/>
      <c r="M17" s="15" t="s">
        <v>218</v>
      </c>
      <c r="N17">
        <f ca="1">AVERAGE(Combined_table[Tenure])</f>
        <v>4.4300471592185033</v>
      </c>
    </row>
    <row r="18" spans="2:14" x14ac:dyDescent="0.3">
      <c r="B18" s="5" t="s">
        <v>131</v>
      </c>
      <c r="C18" s="5" t="s">
        <v>13</v>
      </c>
      <c r="D18" s="5">
        <v>31</v>
      </c>
      <c r="E18" s="5" t="s">
        <v>10</v>
      </c>
      <c r="F18" s="6">
        <v>44145</v>
      </c>
      <c r="G18" s="5" t="s">
        <v>11</v>
      </c>
      <c r="H18" s="28">
        <v>41980</v>
      </c>
      <c r="I18" s="5" t="s">
        <v>208</v>
      </c>
      <c r="J18" s="9">
        <f ca="1">(TODAY()-Combined_table[[#This Row],[Date Joined]])/365</f>
        <v>5.2191780821917808</v>
      </c>
      <c r="K18" s="5">
        <f>IF(Combined_table[[#This Row],[Rating]]="Exceptional",5,
IF(Combined_table[[#This Row],[Rating]]="Above Average",4,
IF(Combined_table[[#This Row],[Rating]]="Average",3,
IF(Combined_table[[#This Row],[Rating]]="Poor",2,
IF(Combined_table[[#This Row],[Rating]]="Very Poor",1,"")))))</f>
        <v>3</v>
      </c>
      <c r="L18" s="5"/>
      <c r="M18" s="15" t="s">
        <v>219</v>
      </c>
      <c r="N18" s="10">
        <f>N19/N14</f>
        <v>0.46994535519125685</v>
      </c>
    </row>
    <row r="19" spans="2:14" x14ac:dyDescent="0.3">
      <c r="B19" s="5" t="s">
        <v>81</v>
      </c>
      <c r="C19" s="5" t="s">
        <v>9</v>
      </c>
      <c r="D19" s="5">
        <v>28</v>
      </c>
      <c r="E19" s="5" t="s">
        <v>82</v>
      </c>
      <c r="F19" s="6">
        <v>44758</v>
      </c>
      <c r="G19" s="5" t="s">
        <v>23</v>
      </c>
      <c r="H19" s="28">
        <v>43510</v>
      </c>
      <c r="I19" s="5" t="s">
        <v>206</v>
      </c>
      <c r="J19" s="9">
        <f ca="1">(TODAY()-Combined_table[[#This Row],[Date Joined]])/365</f>
        <v>3.5397260273972604</v>
      </c>
      <c r="K19" s="5">
        <f>IF(Combined_table[[#This Row],[Rating]]="Exceptional",5,
IF(Combined_table[[#This Row],[Rating]]="Above Average",4,
IF(Combined_table[[#This Row],[Rating]]="Average",3,
IF(Combined_table[[#This Row],[Rating]]="Poor",2,
IF(Combined_table[[#This Row],[Rating]]="Very Poor",1,"")))))</f>
        <v>1</v>
      </c>
      <c r="L19" s="5"/>
      <c r="M19" s="15" t="s">
        <v>223</v>
      </c>
      <c r="N19">
        <f>COUNTIFS(Combined_table[Gender],"Female")</f>
        <v>86</v>
      </c>
    </row>
    <row r="20" spans="2:14" x14ac:dyDescent="0.3">
      <c r="B20" s="5" t="s">
        <v>195</v>
      </c>
      <c r="C20" s="5" t="s">
        <v>9</v>
      </c>
      <c r="D20" s="5">
        <v>28</v>
      </c>
      <c r="E20" s="5" t="s">
        <v>82</v>
      </c>
      <c r="F20" s="6">
        <v>44820</v>
      </c>
      <c r="G20" s="5" t="s">
        <v>23</v>
      </c>
      <c r="H20" s="28">
        <v>43510</v>
      </c>
      <c r="I20" s="5" t="s">
        <v>208</v>
      </c>
      <c r="J20" s="9">
        <f ca="1">(TODAY()-Combined_table[[#This Row],[Date Joined]])/365</f>
        <v>3.3698630136986303</v>
      </c>
      <c r="K20" s="5">
        <f>IF(Combined_table[[#This Row],[Rating]]="Exceptional",5,
IF(Combined_table[[#This Row],[Rating]]="Above Average",4,
IF(Combined_table[[#This Row],[Rating]]="Average",3,
IF(Combined_table[[#This Row],[Rating]]="Poor",2,
IF(Combined_table[[#This Row],[Rating]]="Very Poor",1,"")))))</f>
        <v>1</v>
      </c>
      <c r="L20" s="5"/>
    </row>
    <row r="21" spans="2:14" x14ac:dyDescent="0.3">
      <c r="B21" s="5" t="s">
        <v>12</v>
      </c>
      <c r="C21" s="5" t="s">
        <v>13</v>
      </c>
      <c r="D21" s="5">
        <v>32</v>
      </c>
      <c r="E21" s="5" t="s">
        <v>14</v>
      </c>
      <c r="F21" s="6">
        <v>44293</v>
      </c>
      <c r="G21" s="5" t="s">
        <v>11</v>
      </c>
      <c r="H21" s="28">
        <v>43840</v>
      </c>
      <c r="I21" s="5" t="s">
        <v>206</v>
      </c>
      <c r="J21" s="9">
        <f ca="1">(TODAY()-Combined_table[[#This Row],[Date Joined]])/365</f>
        <v>4.8136986301369866</v>
      </c>
      <c r="K21" s="5">
        <f>IF(Combined_table[[#This Row],[Rating]]="Exceptional",5,
IF(Combined_table[[#This Row],[Rating]]="Above Average",4,
IF(Combined_table[[#This Row],[Rating]]="Average",3,
IF(Combined_table[[#This Row],[Rating]]="Poor",2,
IF(Combined_table[[#This Row],[Rating]]="Very Poor",1,"")))))</f>
        <v>4</v>
      </c>
      <c r="L21" s="5"/>
    </row>
    <row r="22" spans="2:14" x14ac:dyDescent="0.3">
      <c r="B22" s="5" t="s">
        <v>127</v>
      </c>
      <c r="C22" s="5" t="s">
        <v>13</v>
      </c>
      <c r="D22" s="5">
        <v>32</v>
      </c>
      <c r="E22" s="5" t="s">
        <v>14</v>
      </c>
      <c r="F22" s="6">
        <v>44354</v>
      </c>
      <c r="G22" s="5" t="s">
        <v>11</v>
      </c>
      <c r="H22" s="28">
        <v>43840</v>
      </c>
      <c r="I22" s="5" t="s">
        <v>208</v>
      </c>
      <c r="J22" s="9">
        <f ca="1">(TODAY()-Combined_table[[#This Row],[Date Joined]])/365</f>
        <v>4.646575342465753</v>
      </c>
      <c r="K22" s="5">
        <f>IF(Combined_table[[#This Row],[Rating]]="Exceptional",5,
IF(Combined_table[[#This Row],[Rating]]="Above Average",4,
IF(Combined_table[[#This Row],[Rating]]="Average",3,
IF(Combined_table[[#This Row],[Rating]]="Poor",2,
IF(Combined_table[[#This Row],[Rating]]="Very Poor",1,"")))))</f>
        <v>4</v>
      </c>
      <c r="L22" s="5"/>
      <c r="M22" s="50" t="s">
        <v>224</v>
      </c>
      <c r="N22" s="50"/>
    </row>
    <row r="23" spans="2:14" x14ac:dyDescent="0.3">
      <c r="B23" s="5" t="s">
        <v>17</v>
      </c>
      <c r="C23" s="5" t="s">
        <v>13</v>
      </c>
      <c r="D23" s="5">
        <v>32</v>
      </c>
      <c r="E23" s="5" t="s">
        <v>10</v>
      </c>
      <c r="F23" s="6">
        <v>44339</v>
      </c>
      <c r="G23" s="5" t="s">
        <v>18</v>
      </c>
      <c r="H23" s="28">
        <v>45510</v>
      </c>
      <c r="I23" s="5" t="s">
        <v>206</v>
      </c>
      <c r="J23" s="9">
        <f ca="1">(TODAY()-Combined_table[[#This Row],[Date Joined]])/365</f>
        <v>4.6876712328767125</v>
      </c>
      <c r="K23" s="5">
        <f>IF(Combined_table[[#This Row],[Rating]]="Exceptional",5,
IF(Combined_table[[#This Row],[Rating]]="Above Average",4,
IF(Combined_table[[#This Row],[Rating]]="Average",3,
IF(Combined_table[[#This Row],[Rating]]="Poor",2,
IF(Combined_table[[#This Row],[Rating]]="Very Poor",1,"")))))</f>
        <v>3</v>
      </c>
      <c r="L23" s="5"/>
    </row>
    <row r="24" spans="2:14" x14ac:dyDescent="0.3">
      <c r="B24" s="5" t="s">
        <v>164</v>
      </c>
      <c r="C24" s="5" t="s">
        <v>13</v>
      </c>
      <c r="D24" s="5">
        <v>32</v>
      </c>
      <c r="E24" s="5" t="s">
        <v>10</v>
      </c>
      <c r="F24" s="6">
        <v>44400</v>
      </c>
      <c r="G24" s="5" t="s">
        <v>18</v>
      </c>
      <c r="H24" s="28">
        <v>45510</v>
      </c>
      <c r="I24" s="5" t="s">
        <v>208</v>
      </c>
      <c r="J24" s="9">
        <f ca="1">(TODAY()-Combined_table[[#This Row],[Date Joined]])/365</f>
        <v>4.5205479452054798</v>
      </c>
      <c r="K24" s="5">
        <f>IF(Combined_table[[#This Row],[Rating]]="Exceptional",5,
IF(Combined_table[[#This Row],[Rating]]="Above Average",4,
IF(Combined_table[[#This Row],[Rating]]="Average",3,
IF(Combined_table[[#This Row],[Rating]]="Poor",2,
IF(Combined_table[[#This Row],[Rating]]="Very Poor",1,"")))))</f>
        <v>3</v>
      </c>
      <c r="L24" s="5"/>
      <c r="M24" s="51" t="s">
        <v>15</v>
      </c>
      <c r="N24" s="52"/>
    </row>
    <row r="25" spans="2:14" x14ac:dyDescent="0.3">
      <c r="B25" s="5" t="s">
        <v>49</v>
      </c>
      <c r="C25" s="5" t="s">
        <v>9</v>
      </c>
      <c r="D25" s="5">
        <v>26</v>
      </c>
      <c r="E25" s="5" t="s">
        <v>10</v>
      </c>
      <c r="F25" s="6">
        <v>44164</v>
      </c>
      <c r="G25" s="5" t="s">
        <v>16</v>
      </c>
      <c r="H25" s="28">
        <v>47360</v>
      </c>
      <c r="I25" s="5" t="s">
        <v>206</v>
      </c>
      <c r="J25" s="9">
        <f ca="1">(TODAY()-Combined_table[[#This Row],[Date Joined]])/365</f>
        <v>5.1671232876712327</v>
      </c>
      <c r="K25" s="5">
        <f>IF(Combined_table[[#This Row],[Rating]]="Exceptional",5,
IF(Combined_table[[#This Row],[Rating]]="Above Average",4,
IF(Combined_table[[#This Row],[Rating]]="Average",3,
IF(Combined_table[[#This Row],[Rating]]="Poor",2,
IF(Combined_table[[#This Row],[Rating]]="Very Poor",1,"")))))</f>
        <v>3</v>
      </c>
      <c r="L25" s="5"/>
    </row>
    <row r="26" spans="2:14" x14ac:dyDescent="0.3">
      <c r="B26" s="5" t="s">
        <v>181</v>
      </c>
      <c r="C26" s="5" t="s">
        <v>9</v>
      </c>
      <c r="D26" s="5">
        <v>26</v>
      </c>
      <c r="E26" s="5" t="s">
        <v>10</v>
      </c>
      <c r="F26" s="6">
        <v>44225</v>
      </c>
      <c r="G26" s="5" t="s">
        <v>16</v>
      </c>
      <c r="H26" s="28">
        <v>47360</v>
      </c>
      <c r="I26" s="5" t="s">
        <v>208</v>
      </c>
      <c r="J26" s="9">
        <f ca="1">(TODAY()-Combined_table[[#This Row],[Date Joined]])/365</f>
        <v>5</v>
      </c>
      <c r="K26" s="5">
        <f>IF(Combined_table[[#This Row],[Rating]]="Exceptional",5,
IF(Combined_table[[#This Row],[Rating]]="Above Average",4,
IF(Combined_table[[#This Row],[Rating]]="Average",3,
IF(Combined_table[[#This Row],[Rating]]="Poor",2,
IF(Combined_table[[#This Row],[Rating]]="Very Poor",1,"")))))</f>
        <v>3</v>
      </c>
      <c r="L26" s="5"/>
      <c r="M26" s="11" t="s">
        <v>2</v>
      </c>
      <c r="N26" s="12" t="str">
        <f>VLOOKUP(M24,Combined_table[#All],2,FALSE)</f>
        <v>Male</v>
      </c>
    </row>
    <row r="27" spans="2:14" x14ac:dyDescent="0.3">
      <c r="B27" s="5" t="s">
        <v>30</v>
      </c>
      <c r="C27" s="5" t="s">
        <v>9</v>
      </c>
      <c r="D27" s="5">
        <v>28</v>
      </c>
      <c r="E27" s="5" t="s">
        <v>14</v>
      </c>
      <c r="F27" s="6">
        <v>43980</v>
      </c>
      <c r="G27" s="5" t="s">
        <v>21</v>
      </c>
      <c r="H27" s="28">
        <v>48170</v>
      </c>
      <c r="I27" s="5" t="s">
        <v>206</v>
      </c>
      <c r="J27" s="9">
        <f ca="1">(TODAY()-Combined_table[[#This Row],[Date Joined]])/365</f>
        <v>5.6712328767123283</v>
      </c>
      <c r="K27" s="5">
        <f>IF(Combined_table[[#This Row],[Rating]]="Exceptional",5,
IF(Combined_table[[#This Row],[Rating]]="Above Average",4,
IF(Combined_table[[#This Row],[Rating]]="Average",3,
IF(Combined_table[[#This Row],[Rating]]="Poor",2,
IF(Combined_table[[#This Row],[Rating]]="Very Poor",1,"")))))</f>
        <v>4</v>
      </c>
      <c r="L27" s="5"/>
      <c r="M27" s="11" t="s">
        <v>3</v>
      </c>
      <c r="N27" s="12">
        <f>VLOOKUP(M24,Combined_table[#All],3,FALSE)</f>
        <v>31</v>
      </c>
    </row>
    <row r="28" spans="2:14" x14ac:dyDescent="0.3">
      <c r="B28" s="5" t="s">
        <v>163</v>
      </c>
      <c r="C28" s="5" t="s">
        <v>9</v>
      </c>
      <c r="D28" s="5">
        <v>28</v>
      </c>
      <c r="E28" s="5" t="s">
        <v>14</v>
      </c>
      <c r="F28" s="6">
        <v>44041</v>
      </c>
      <c r="G28" s="5" t="s">
        <v>21</v>
      </c>
      <c r="H28" s="28">
        <v>48170</v>
      </c>
      <c r="I28" s="5" t="s">
        <v>208</v>
      </c>
      <c r="J28" s="9">
        <f ca="1">(TODAY()-Combined_table[[#This Row],[Date Joined]])/365</f>
        <v>5.5041095890410956</v>
      </c>
      <c r="K28" s="5">
        <f>IF(Combined_table[[#This Row],[Rating]]="Exceptional",5,
IF(Combined_table[[#This Row],[Rating]]="Above Average",4,
IF(Combined_table[[#This Row],[Rating]]="Average",3,
IF(Combined_table[[#This Row],[Rating]]="Poor",2,
IF(Combined_table[[#This Row],[Rating]]="Very Poor",1,"")))))</f>
        <v>4</v>
      </c>
      <c r="L28" s="5"/>
      <c r="M28" s="11" t="s">
        <v>4</v>
      </c>
      <c r="N28" s="12" t="str">
        <f>VLOOKUP(M24,Combined_table[#All],4,FALSE)</f>
        <v>Average</v>
      </c>
    </row>
    <row r="29" spans="2:14" x14ac:dyDescent="0.3">
      <c r="B29" s="5" t="s">
        <v>110</v>
      </c>
      <c r="C29" s="5" t="s">
        <v>9</v>
      </c>
      <c r="D29" s="5">
        <v>33</v>
      </c>
      <c r="E29" s="5" t="s">
        <v>14</v>
      </c>
      <c r="F29" s="6">
        <v>44640</v>
      </c>
      <c r="G29" s="5" t="s">
        <v>16</v>
      </c>
      <c r="H29" s="28">
        <v>48530</v>
      </c>
      <c r="I29" s="5" t="s">
        <v>206</v>
      </c>
      <c r="J29" s="9">
        <f ca="1">(TODAY()-Combined_table[[#This Row],[Date Joined]])/365</f>
        <v>3.8630136986301369</v>
      </c>
      <c r="K29" s="5">
        <f>IF(Combined_table[[#This Row],[Rating]]="Exceptional",5,
IF(Combined_table[[#This Row],[Rating]]="Above Average",4,
IF(Combined_table[[#This Row],[Rating]]="Average",3,
IF(Combined_table[[#This Row],[Rating]]="Poor",2,
IF(Combined_table[[#This Row],[Rating]]="Very Poor",1,"")))))</f>
        <v>4</v>
      </c>
      <c r="L29" s="5"/>
      <c r="M29" s="11" t="s">
        <v>5</v>
      </c>
      <c r="N29" s="13">
        <f>VLOOKUP(M24,Combined_table[#All],5,FALSE)</f>
        <v>44663</v>
      </c>
    </row>
    <row r="30" spans="2:14" x14ac:dyDescent="0.3">
      <c r="B30" s="5" t="s">
        <v>119</v>
      </c>
      <c r="C30" s="5" t="s">
        <v>9</v>
      </c>
      <c r="D30" s="5">
        <v>33</v>
      </c>
      <c r="E30" s="5" t="s">
        <v>14</v>
      </c>
      <c r="F30" s="6">
        <v>44701</v>
      </c>
      <c r="G30" s="5" t="s">
        <v>16</v>
      </c>
      <c r="H30" s="28">
        <v>48530</v>
      </c>
      <c r="I30" s="5" t="s">
        <v>208</v>
      </c>
      <c r="J30" s="9">
        <f ca="1">(TODAY()-Combined_table[[#This Row],[Date Joined]])/365</f>
        <v>3.6958904109589041</v>
      </c>
      <c r="K30" s="5">
        <f>IF(Combined_table[[#This Row],[Rating]]="Exceptional",5,
IF(Combined_table[[#This Row],[Rating]]="Above Average",4,
IF(Combined_table[[#This Row],[Rating]]="Average",3,
IF(Combined_table[[#This Row],[Rating]]="Poor",2,
IF(Combined_table[[#This Row],[Rating]]="Very Poor",1,"")))))</f>
        <v>4</v>
      </c>
      <c r="L30" s="5"/>
      <c r="M30" s="11" t="s">
        <v>6</v>
      </c>
      <c r="N30" s="12" t="str">
        <f>VLOOKUP(M24,Combined_table[#All],6,FALSE)</f>
        <v>Procurement</v>
      </c>
    </row>
    <row r="31" spans="2:14" x14ac:dyDescent="0.3">
      <c r="B31" s="5" t="s">
        <v>76</v>
      </c>
      <c r="C31" s="5" t="s">
        <v>9</v>
      </c>
      <c r="D31" s="5">
        <v>31</v>
      </c>
      <c r="E31" s="5" t="s">
        <v>10</v>
      </c>
      <c r="F31" s="6">
        <v>44450</v>
      </c>
      <c r="G31" s="5" t="s">
        <v>11</v>
      </c>
      <c r="H31" s="28">
        <v>48950</v>
      </c>
      <c r="I31" s="5" t="s">
        <v>206</v>
      </c>
      <c r="J31" s="9">
        <f ca="1">(TODAY()-Combined_table[[#This Row],[Date Joined]])/365</f>
        <v>4.3835616438356162</v>
      </c>
      <c r="K31" s="5">
        <f>IF(Combined_table[[#This Row],[Rating]]="Exceptional",5,
IF(Combined_table[[#This Row],[Rating]]="Above Average",4,
IF(Combined_table[[#This Row],[Rating]]="Average",3,
IF(Combined_table[[#This Row],[Rating]]="Poor",2,
IF(Combined_table[[#This Row],[Rating]]="Very Poor",1,"")))))</f>
        <v>3</v>
      </c>
      <c r="L31" s="5"/>
      <c r="M31" s="11" t="s">
        <v>7</v>
      </c>
      <c r="N31" s="16">
        <f>VLOOKUP(M24,Combined_table[#All],7,FALSE)</f>
        <v>103550</v>
      </c>
    </row>
    <row r="32" spans="2:14" x14ac:dyDescent="0.3">
      <c r="B32" s="5" t="s">
        <v>151</v>
      </c>
      <c r="C32" s="5" t="s">
        <v>9</v>
      </c>
      <c r="D32" s="5">
        <v>31</v>
      </c>
      <c r="E32" s="5" t="s">
        <v>10</v>
      </c>
      <c r="F32" s="6">
        <v>44511</v>
      </c>
      <c r="G32" s="5" t="s">
        <v>11</v>
      </c>
      <c r="H32" s="28">
        <v>48950</v>
      </c>
      <c r="I32" s="5" t="s">
        <v>208</v>
      </c>
      <c r="J32" s="9">
        <f ca="1">(TODAY()-Combined_table[[#This Row],[Date Joined]])/365</f>
        <v>4.2164383561643834</v>
      </c>
      <c r="K32" s="5">
        <f>IF(Combined_table[[#This Row],[Rating]]="Exceptional",5,
IF(Combined_table[[#This Row],[Rating]]="Above Average",4,
IF(Combined_table[[#This Row],[Rating]]="Average",3,
IF(Combined_table[[#This Row],[Rating]]="Poor",2,
IF(Combined_table[[#This Row],[Rating]]="Very Poor",1,"")))))</f>
        <v>3</v>
      </c>
      <c r="L32" s="5"/>
      <c r="M32" s="11" t="s">
        <v>205</v>
      </c>
      <c r="N32" s="12" t="str">
        <f>VLOOKUP(M24,Combined_table[#All],8,FALSE)</f>
        <v>IND</v>
      </c>
    </row>
    <row r="33" spans="2:16" x14ac:dyDescent="0.3">
      <c r="B33" s="5" t="s">
        <v>58</v>
      </c>
      <c r="C33" s="5" t="s">
        <v>9</v>
      </c>
      <c r="D33" s="5">
        <v>27</v>
      </c>
      <c r="E33" s="5" t="s">
        <v>10</v>
      </c>
      <c r="F33" s="6">
        <v>44506</v>
      </c>
      <c r="G33" s="5" t="s">
        <v>21</v>
      </c>
      <c r="H33" s="28">
        <v>48980</v>
      </c>
      <c r="I33" s="5" t="s">
        <v>206</v>
      </c>
      <c r="J33" s="9">
        <f ca="1">(TODAY()-Combined_table[[#This Row],[Date Joined]])/365</f>
        <v>4.2301369863013702</v>
      </c>
      <c r="K33" s="5">
        <f>IF(Combined_table[[#This Row],[Rating]]="Exceptional",5,
IF(Combined_table[[#This Row],[Rating]]="Above Average",4,
IF(Combined_table[[#This Row],[Rating]]="Average",3,
IF(Combined_table[[#This Row],[Rating]]="Poor",2,
IF(Combined_table[[#This Row],[Rating]]="Very Poor",1,"")))))</f>
        <v>3</v>
      </c>
      <c r="L33" s="5"/>
      <c r="M33" s="11" t="s">
        <v>222</v>
      </c>
      <c r="N33" s="14">
        <f ca="1">VLOOKUP(M24,Combined_table[#All],9,FALSE)</f>
        <v>3.8</v>
      </c>
    </row>
    <row r="34" spans="2:16" x14ac:dyDescent="0.3">
      <c r="B34" s="5" t="s">
        <v>136</v>
      </c>
      <c r="C34" s="5" t="s">
        <v>9</v>
      </c>
      <c r="D34" s="5">
        <v>27</v>
      </c>
      <c r="E34" s="5" t="s">
        <v>10</v>
      </c>
      <c r="F34" s="6">
        <v>44567</v>
      </c>
      <c r="G34" s="5" t="s">
        <v>21</v>
      </c>
      <c r="H34" s="28">
        <v>48980</v>
      </c>
      <c r="I34" s="5" t="s">
        <v>208</v>
      </c>
      <c r="J34" s="9">
        <f ca="1">(TODAY()-Combined_table[[#This Row],[Date Joined]])/365</f>
        <v>4.0630136986301366</v>
      </c>
      <c r="K34" s="5">
        <f>IF(Combined_table[[#This Row],[Rating]]="Exceptional",5,
IF(Combined_table[[#This Row],[Rating]]="Above Average",4,
IF(Combined_table[[#This Row],[Rating]]="Average",3,
IF(Combined_table[[#This Row],[Rating]]="Poor",2,
IF(Combined_table[[#This Row],[Rating]]="Very Poor",1,"")))))</f>
        <v>3</v>
      </c>
      <c r="L34" s="5"/>
    </row>
    <row r="35" spans="2:16" x14ac:dyDescent="0.3">
      <c r="B35" s="5" t="s">
        <v>33</v>
      </c>
      <c r="C35" s="5" t="s">
        <v>13</v>
      </c>
      <c r="D35" s="5">
        <v>34</v>
      </c>
      <c r="E35" s="5" t="s">
        <v>20</v>
      </c>
      <c r="F35" s="6">
        <v>44660</v>
      </c>
      <c r="G35" s="5" t="s">
        <v>23</v>
      </c>
      <c r="H35" s="28">
        <v>49630</v>
      </c>
      <c r="I35" s="5" t="s">
        <v>206</v>
      </c>
      <c r="J35" s="9">
        <f ca="1">(TODAY()-Combined_table[[#This Row],[Date Joined]])/365</f>
        <v>3.8082191780821919</v>
      </c>
      <c r="K35" s="5">
        <f>IF(Combined_table[[#This Row],[Rating]]="Exceptional",5,
IF(Combined_table[[#This Row],[Rating]]="Above Average",4,
IF(Combined_table[[#This Row],[Rating]]="Average",3,
IF(Combined_table[[#This Row],[Rating]]="Poor",2,
IF(Combined_table[[#This Row],[Rating]]="Very Poor",1,"")))))</f>
        <v>2</v>
      </c>
      <c r="L35" s="5"/>
    </row>
    <row r="36" spans="2:16" x14ac:dyDescent="0.3">
      <c r="B36" s="5" t="s">
        <v>147</v>
      </c>
      <c r="C36" s="5" t="s">
        <v>13</v>
      </c>
      <c r="D36" s="5">
        <v>34</v>
      </c>
      <c r="E36" s="5" t="s">
        <v>20</v>
      </c>
      <c r="F36" s="6">
        <v>44721</v>
      </c>
      <c r="G36" s="5" t="s">
        <v>23</v>
      </c>
      <c r="H36" s="28">
        <v>49630</v>
      </c>
      <c r="I36" s="5" t="s">
        <v>208</v>
      </c>
      <c r="J36" s="9">
        <f ca="1">(TODAY()-Combined_table[[#This Row],[Date Joined]])/365</f>
        <v>3.6410958904109587</v>
      </c>
      <c r="K36" s="5">
        <f>IF(Combined_table[[#This Row],[Rating]]="Exceptional",5,
IF(Combined_table[[#This Row],[Rating]]="Above Average",4,
IF(Combined_table[[#This Row],[Rating]]="Average",3,
IF(Combined_table[[#This Row],[Rating]]="Poor",2,
IF(Combined_table[[#This Row],[Rating]]="Very Poor",1,"")))))</f>
        <v>2</v>
      </c>
      <c r="L36" s="5"/>
    </row>
    <row r="37" spans="2:16" x14ac:dyDescent="0.3">
      <c r="B37" s="5" t="s">
        <v>53</v>
      </c>
      <c r="C37" s="5" t="s">
        <v>9</v>
      </c>
      <c r="D37" s="5">
        <v>24</v>
      </c>
      <c r="E37" s="5" t="s">
        <v>20</v>
      </c>
      <c r="F37" s="6">
        <v>44375</v>
      </c>
      <c r="G37" s="5" t="s">
        <v>21</v>
      </c>
      <c r="H37" s="28">
        <v>52610</v>
      </c>
      <c r="I37" s="5" t="s">
        <v>206</v>
      </c>
      <c r="J37" s="9">
        <f ca="1">(TODAY()-Combined_table[[#This Row],[Date Joined]])/365</f>
        <v>4.5890410958904111</v>
      </c>
      <c r="K37" s="5">
        <f>IF(Combined_table[[#This Row],[Rating]]="Exceptional",5,
IF(Combined_table[[#This Row],[Rating]]="Above Average",4,
IF(Combined_table[[#This Row],[Rating]]="Average",3,
IF(Combined_table[[#This Row],[Rating]]="Poor",2,
IF(Combined_table[[#This Row],[Rating]]="Very Poor",1,"")))))</f>
        <v>2</v>
      </c>
      <c r="L37" s="5"/>
    </row>
    <row r="38" spans="2:16" x14ac:dyDescent="0.3">
      <c r="B38" s="5" t="s">
        <v>152</v>
      </c>
      <c r="C38" s="5" t="s">
        <v>9</v>
      </c>
      <c r="D38" s="5">
        <v>24</v>
      </c>
      <c r="E38" s="5" t="s">
        <v>20</v>
      </c>
      <c r="F38" s="6">
        <v>44436</v>
      </c>
      <c r="G38" s="5" t="s">
        <v>21</v>
      </c>
      <c r="H38" s="28">
        <v>52610</v>
      </c>
      <c r="I38" s="5" t="s">
        <v>208</v>
      </c>
      <c r="J38" s="9">
        <f ca="1">(TODAY()-Combined_table[[#This Row],[Date Joined]])/365</f>
        <v>4.4219178082191783</v>
      </c>
      <c r="K38" s="5">
        <f>IF(Combined_table[[#This Row],[Rating]]="Exceptional",5,
IF(Combined_table[[#This Row],[Rating]]="Above Average",4,
IF(Combined_table[[#This Row],[Rating]]="Average",3,
IF(Combined_table[[#This Row],[Rating]]="Poor",2,
IF(Combined_table[[#This Row],[Rating]]="Very Poor",1,"")))))</f>
        <v>2</v>
      </c>
      <c r="L38" s="5"/>
    </row>
    <row r="39" spans="2:16" x14ac:dyDescent="0.3">
      <c r="B39" s="5" t="s">
        <v>60</v>
      </c>
      <c r="C39" s="5" t="s">
        <v>13</v>
      </c>
      <c r="D39" s="5">
        <v>28</v>
      </c>
      <c r="E39" s="5" t="s">
        <v>10</v>
      </c>
      <c r="F39" s="6">
        <v>44296</v>
      </c>
      <c r="G39" s="5" t="s">
        <v>23</v>
      </c>
      <c r="H39" s="28">
        <v>53240</v>
      </c>
      <c r="I39" s="5" t="s">
        <v>206</v>
      </c>
      <c r="J39" s="9">
        <f ca="1">(TODAY()-Combined_table[[#This Row],[Date Joined]])/365</f>
        <v>4.8054794520547945</v>
      </c>
      <c r="K39" s="5">
        <f>IF(Combined_table[[#This Row],[Rating]]="Exceptional",5,
IF(Combined_table[[#This Row],[Rating]]="Above Average",4,
IF(Combined_table[[#This Row],[Rating]]="Average",3,
IF(Combined_table[[#This Row],[Rating]]="Poor",2,
IF(Combined_table[[#This Row],[Rating]]="Very Poor",1,"")))))</f>
        <v>3</v>
      </c>
      <c r="L39" s="5"/>
    </row>
    <row r="40" spans="2:16" x14ac:dyDescent="0.3">
      <c r="B40" s="5" t="s">
        <v>115</v>
      </c>
      <c r="C40" s="5" t="s">
        <v>13</v>
      </c>
      <c r="D40" s="5">
        <v>28</v>
      </c>
      <c r="E40" s="5" t="s">
        <v>10</v>
      </c>
      <c r="F40" s="6">
        <v>44357</v>
      </c>
      <c r="G40" s="5" t="s">
        <v>23</v>
      </c>
      <c r="H40" s="28">
        <v>53240</v>
      </c>
      <c r="I40" s="5" t="s">
        <v>208</v>
      </c>
      <c r="J40" s="9">
        <f ca="1">(TODAY()-Combined_table[[#This Row],[Date Joined]])/365</f>
        <v>4.6383561643835618</v>
      </c>
      <c r="K40" s="5">
        <f>IF(Combined_table[[#This Row],[Rating]]="Exceptional",5,
IF(Combined_table[[#This Row],[Rating]]="Above Average",4,
IF(Combined_table[[#This Row],[Rating]]="Average",3,
IF(Combined_table[[#This Row],[Rating]]="Poor",2,
IF(Combined_table[[#This Row],[Rating]]="Very Poor",1,"")))))</f>
        <v>3</v>
      </c>
      <c r="L40" s="5"/>
    </row>
    <row r="41" spans="2:16" x14ac:dyDescent="0.3">
      <c r="B41" s="5" t="s">
        <v>80</v>
      </c>
      <c r="C41" s="5" t="s">
        <v>9</v>
      </c>
      <c r="D41" s="5">
        <v>32</v>
      </c>
      <c r="E41" s="5" t="s">
        <v>10</v>
      </c>
      <c r="F41" s="6">
        <v>44403</v>
      </c>
      <c r="G41" s="5" t="s">
        <v>23</v>
      </c>
      <c r="H41" s="28">
        <v>53540</v>
      </c>
      <c r="I41" s="5" t="s">
        <v>206</v>
      </c>
      <c r="J41" s="9">
        <f ca="1">(TODAY()-Combined_table[[#This Row],[Date Joined]])/365</f>
        <v>4.5123287671232877</v>
      </c>
      <c r="K41" s="5">
        <f>IF(Combined_table[[#This Row],[Rating]]="Exceptional",5,
IF(Combined_table[[#This Row],[Rating]]="Above Average",4,
IF(Combined_table[[#This Row],[Rating]]="Average",3,
IF(Combined_table[[#This Row],[Rating]]="Poor",2,
IF(Combined_table[[#This Row],[Rating]]="Very Poor",1,"")))))</f>
        <v>3</v>
      </c>
      <c r="L41" s="5"/>
    </row>
    <row r="42" spans="2:16" x14ac:dyDescent="0.3">
      <c r="B42" s="5" t="s">
        <v>89</v>
      </c>
      <c r="C42" s="5" t="s">
        <v>9</v>
      </c>
      <c r="D42" s="5">
        <v>26</v>
      </c>
      <c r="E42" s="5" t="s">
        <v>10</v>
      </c>
      <c r="F42" s="6">
        <v>44350</v>
      </c>
      <c r="G42" s="5" t="s">
        <v>16</v>
      </c>
      <c r="H42" s="28">
        <v>53540</v>
      </c>
      <c r="I42" s="5" t="s">
        <v>206</v>
      </c>
      <c r="J42" s="9">
        <f ca="1">(TODAY()-Combined_table[[#This Row],[Date Joined]])/365</f>
        <v>4.6575342465753424</v>
      </c>
      <c r="K42" s="5">
        <f>IF(Combined_table[[#This Row],[Rating]]="Exceptional",5,
IF(Combined_table[[#This Row],[Rating]]="Above Average",4,
IF(Combined_table[[#This Row],[Rating]]="Average",3,
IF(Combined_table[[#This Row],[Rating]]="Poor",2,
IF(Combined_table[[#This Row],[Rating]]="Very Poor",1,"")))))</f>
        <v>3</v>
      </c>
      <c r="L42" s="5"/>
    </row>
    <row r="43" spans="2:16" x14ac:dyDescent="0.3">
      <c r="B43" s="5" t="s">
        <v>117</v>
      </c>
      <c r="C43" s="5" t="s">
        <v>9</v>
      </c>
      <c r="D43" s="5">
        <v>32</v>
      </c>
      <c r="E43" s="5" t="s">
        <v>10</v>
      </c>
      <c r="F43" s="6">
        <v>44465</v>
      </c>
      <c r="G43" s="5" t="s">
        <v>23</v>
      </c>
      <c r="H43" s="28">
        <v>53540</v>
      </c>
      <c r="I43" s="5" t="s">
        <v>208</v>
      </c>
      <c r="J43" s="9">
        <f ca="1">(TODAY()-Combined_table[[#This Row],[Date Joined]])/365</f>
        <v>4.3424657534246576</v>
      </c>
      <c r="K43" s="5">
        <f>IF(Combined_table[[#This Row],[Rating]]="Exceptional",5,
IF(Combined_table[[#This Row],[Rating]]="Above Average",4,
IF(Combined_table[[#This Row],[Rating]]="Average",3,
IF(Combined_table[[#This Row],[Rating]]="Poor",2,
IF(Combined_table[[#This Row],[Rating]]="Very Poor",1,"")))))</f>
        <v>3</v>
      </c>
      <c r="L43" s="5"/>
    </row>
    <row r="44" spans="2:16" x14ac:dyDescent="0.3">
      <c r="B44" s="5" t="s">
        <v>203</v>
      </c>
      <c r="C44" s="5" t="s">
        <v>9</v>
      </c>
      <c r="D44" s="5">
        <v>26</v>
      </c>
      <c r="E44" s="5" t="s">
        <v>10</v>
      </c>
      <c r="F44" s="6">
        <v>44411</v>
      </c>
      <c r="G44" s="5" t="s">
        <v>16</v>
      </c>
      <c r="H44" s="28">
        <v>53540</v>
      </c>
      <c r="I44" s="5" t="s">
        <v>208</v>
      </c>
      <c r="J44" s="9">
        <f ca="1">(TODAY()-Combined_table[[#This Row],[Date Joined]])/365</f>
        <v>4.4904109589041097</v>
      </c>
      <c r="K44" s="5">
        <f>IF(Combined_table[[#This Row],[Rating]]="Exceptional",5,
IF(Combined_table[[#This Row],[Rating]]="Above Average",4,
IF(Combined_table[[#This Row],[Rating]]="Average",3,
IF(Combined_table[[#This Row],[Rating]]="Poor",2,
IF(Combined_table[[#This Row],[Rating]]="Very Poor",1,"")))))</f>
        <v>3</v>
      </c>
      <c r="L44" s="5"/>
    </row>
    <row r="45" spans="2:16" x14ac:dyDescent="0.3">
      <c r="B45" s="5" t="s">
        <v>105</v>
      </c>
      <c r="C45" s="5" t="s">
        <v>9</v>
      </c>
      <c r="D45" s="5">
        <v>33</v>
      </c>
      <c r="E45" s="5" t="s">
        <v>10</v>
      </c>
      <c r="F45" s="6">
        <v>44448</v>
      </c>
      <c r="G45" s="5" t="s">
        <v>11</v>
      </c>
      <c r="H45" s="28">
        <v>53870</v>
      </c>
      <c r="I45" s="5" t="s">
        <v>206</v>
      </c>
      <c r="J45" s="9">
        <f ca="1">(TODAY()-Combined_table[[#This Row],[Date Joined]])/365</f>
        <v>4.3890410958904109</v>
      </c>
      <c r="K45" s="5">
        <f>IF(Combined_table[[#This Row],[Rating]]="Exceptional",5,
IF(Combined_table[[#This Row],[Rating]]="Above Average",4,
IF(Combined_table[[#This Row],[Rating]]="Average",3,
IF(Combined_table[[#This Row],[Rating]]="Poor",2,
IF(Combined_table[[#This Row],[Rating]]="Very Poor",1,"")))))</f>
        <v>3</v>
      </c>
      <c r="L45" s="5"/>
    </row>
    <row r="46" spans="2:16" x14ac:dyDescent="0.3">
      <c r="B46" s="5" t="s">
        <v>121</v>
      </c>
      <c r="C46" s="5" t="s">
        <v>9</v>
      </c>
      <c r="D46" s="5">
        <v>33</v>
      </c>
      <c r="E46" s="5" t="s">
        <v>10</v>
      </c>
      <c r="F46" s="6">
        <v>44509</v>
      </c>
      <c r="G46" s="5" t="s">
        <v>11</v>
      </c>
      <c r="H46" s="28">
        <v>53870</v>
      </c>
      <c r="I46" s="5" t="s">
        <v>208</v>
      </c>
      <c r="J46" s="9">
        <f ca="1">(TODAY()-Combined_table[[#This Row],[Date Joined]])/365</f>
        <v>4.2219178082191782</v>
      </c>
      <c r="K46" s="5">
        <f>IF(Combined_table[[#This Row],[Rating]]="Exceptional",5,
IF(Combined_table[[#This Row],[Rating]]="Above Average",4,
IF(Combined_table[[#This Row],[Rating]]="Average",3,
IF(Combined_table[[#This Row],[Rating]]="Poor",2,
IF(Combined_table[[#This Row],[Rating]]="Very Poor",1,"")))))</f>
        <v>3</v>
      </c>
      <c r="L46" s="5"/>
    </row>
    <row r="47" spans="2:16" x14ac:dyDescent="0.3">
      <c r="B47" s="5" t="s">
        <v>38</v>
      </c>
      <c r="C47" s="5" t="s">
        <v>9</v>
      </c>
      <c r="D47" s="5">
        <v>27</v>
      </c>
      <c r="E47" s="5" t="s">
        <v>10</v>
      </c>
      <c r="F47" s="6">
        <v>44073</v>
      </c>
      <c r="G47" s="5" t="s">
        <v>23</v>
      </c>
      <c r="H47" s="28">
        <v>54970</v>
      </c>
      <c r="I47" s="5" t="s">
        <v>206</v>
      </c>
      <c r="J47" s="9">
        <f ca="1">(TODAY()-Combined_table[[#This Row],[Date Joined]])/365</f>
        <v>5.4164383561643836</v>
      </c>
      <c r="K47" s="5">
        <f>IF(Combined_table[[#This Row],[Rating]]="Exceptional",5,
IF(Combined_table[[#This Row],[Rating]]="Above Average",4,
IF(Combined_table[[#This Row],[Rating]]="Average",3,
IF(Combined_table[[#This Row],[Rating]]="Poor",2,
IF(Combined_table[[#This Row],[Rating]]="Very Poor",1,"")))))</f>
        <v>3</v>
      </c>
      <c r="L47" s="5"/>
    </row>
    <row r="48" spans="2:16" x14ac:dyDescent="0.3">
      <c r="B48" s="5" t="s">
        <v>176</v>
      </c>
      <c r="C48" s="5" t="s">
        <v>9</v>
      </c>
      <c r="D48" s="5">
        <v>27</v>
      </c>
      <c r="E48" s="5" t="s">
        <v>10</v>
      </c>
      <c r="F48" s="6">
        <v>44134</v>
      </c>
      <c r="G48" s="5" t="s">
        <v>23</v>
      </c>
      <c r="H48" s="28">
        <v>54970</v>
      </c>
      <c r="I48" s="5" t="s">
        <v>208</v>
      </c>
      <c r="J48" s="9">
        <f ca="1">(TODAY()-Combined_table[[#This Row],[Date Joined]])/365</f>
        <v>5.2493150684931509</v>
      </c>
      <c r="K48" s="5">
        <f>IF(Combined_table[[#This Row],[Rating]]="Exceptional",5,
IF(Combined_table[[#This Row],[Rating]]="Above Average",4,
IF(Combined_table[[#This Row],[Rating]]="Average",3,
IF(Combined_table[[#This Row],[Rating]]="Poor",2,
IF(Combined_table[[#This Row],[Rating]]="Very Poor",1,"")))))</f>
        <v>3</v>
      </c>
      <c r="L48" s="5"/>
      <c r="P48" s="18"/>
    </row>
    <row r="49" spans="2:12" x14ac:dyDescent="0.3">
      <c r="B49" s="5" t="s">
        <v>22</v>
      </c>
      <c r="C49" s="5" t="s">
        <v>13</v>
      </c>
      <c r="D49" s="5">
        <v>38</v>
      </c>
      <c r="E49" s="5" t="s">
        <v>14</v>
      </c>
      <c r="F49" s="6">
        <v>44268</v>
      </c>
      <c r="G49" s="5" t="s">
        <v>23</v>
      </c>
      <c r="H49" s="28">
        <v>56870</v>
      </c>
      <c r="I49" s="5" t="s">
        <v>206</v>
      </c>
      <c r="J49" s="9">
        <f ca="1">(TODAY()-Combined_table[[#This Row],[Date Joined]])/365</f>
        <v>4.882191780821918</v>
      </c>
      <c r="K49" s="5">
        <f>IF(Combined_table[[#This Row],[Rating]]="Exceptional",5,
IF(Combined_table[[#This Row],[Rating]]="Above Average",4,
IF(Combined_table[[#This Row],[Rating]]="Average",3,
IF(Combined_table[[#This Row],[Rating]]="Poor",2,
IF(Combined_table[[#This Row],[Rating]]="Very Poor",1,"")))))</f>
        <v>4</v>
      </c>
      <c r="L49" s="5"/>
    </row>
    <row r="50" spans="2:12" x14ac:dyDescent="0.3">
      <c r="B50" s="5" t="s">
        <v>178</v>
      </c>
      <c r="C50" s="5" t="s">
        <v>13</v>
      </c>
      <c r="D50" s="5">
        <v>38</v>
      </c>
      <c r="E50" s="5" t="s">
        <v>14</v>
      </c>
      <c r="F50" s="6">
        <v>44329</v>
      </c>
      <c r="G50" s="5" t="s">
        <v>23</v>
      </c>
      <c r="H50" s="28">
        <v>56870</v>
      </c>
      <c r="I50" s="5" t="s">
        <v>208</v>
      </c>
      <c r="J50" s="9">
        <f ca="1">(TODAY()-Combined_table[[#This Row],[Date Joined]])/365</f>
        <v>4.7150684931506852</v>
      </c>
      <c r="K50" s="5">
        <f>IF(Combined_table[[#This Row],[Rating]]="Exceptional",5,
IF(Combined_table[[#This Row],[Rating]]="Above Average",4,
IF(Combined_table[[#This Row],[Rating]]="Average",3,
IF(Combined_table[[#This Row],[Rating]]="Poor",2,
IF(Combined_table[[#This Row],[Rating]]="Very Poor",1,"")))))</f>
        <v>4</v>
      </c>
      <c r="L50" s="5"/>
    </row>
    <row r="51" spans="2:12" x14ac:dyDescent="0.3">
      <c r="B51" s="5" t="s">
        <v>66</v>
      </c>
      <c r="C51" s="5" t="s">
        <v>9</v>
      </c>
      <c r="D51" s="5">
        <v>21</v>
      </c>
      <c r="E51" s="5" t="s">
        <v>10</v>
      </c>
      <c r="F51" s="6">
        <v>44701</v>
      </c>
      <c r="G51" s="5" t="s">
        <v>16</v>
      </c>
      <c r="H51" s="28">
        <v>57090</v>
      </c>
      <c r="I51" s="5" t="s">
        <v>206</v>
      </c>
      <c r="J51" s="9">
        <f ca="1">(TODAY()-Combined_table[[#This Row],[Date Joined]])/365</f>
        <v>3.6958904109589041</v>
      </c>
      <c r="K51" s="5">
        <f>IF(Combined_table[[#This Row],[Rating]]="Exceptional",5,
IF(Combined_table[[#This Row],[Rating]]="Above Average",4,
IF(Combined_table[[#This Row],[Rating]]="Average",3,
IF(Combined_table[[#This Row],[Rating]]="Poor",2,
IF(Combined_table[[#This Row],[Rating]]="Very Poor",1,"")))))</f>
        <v>3</v>
      </c>
      <c r="L51" s="5"/>
    </row>
    <row r="52" spans="2:12" x14ac:dyDescent="0.3">
      <c r="B52" s="5" t="s">
        <v>130</v>
      </c>
      <c r="C52" s="5" t="s">
        <v>9</v>
      </c>
      <c r="D52" s="5">
        <v>21</v>
      </c>
      <c r="E52" s="5" t="s">
        <v>10</v>
      </c>
      <c r="F52" s="6">
        <v>44762</v>
      </c>
      <c r="G52" s="5" t="s">
        <v>16</v>
      </c>
      <c r="H52" s="28">
        <v>57090</v>
      </c>
      <c r="I52" s="5" t="s">
        <v>208</v>
      </c>
      <c r="J52" s="9">
        <f ca="1">(TODAY()-Combined_table[[#This Row],[Date Joined]])/365</f>
        <v>3.5287671232876714</v>
      </c>
      <c r="K52" s="5">
        <f>IF(Combined_table[[#This Row],[Rating]]="Exceptional",5,
IF(Combined_table[[#This Row],[Rating]]="Above Average",4,
IF(Combined_table[[#This Row],[Rating]]="Average",3,
IF(Combined_table[[#This Row],[Rating]]="Poor",2,
IF(Combined_table[[#This Row],[Rating]]="Very Poor",1,"")))))</f>
        <v>3</v>
      </c>
      <c r="L52" s="5"/>
    </row>
    <row r="53" spans="2:12" x14ac:dyDescent="0.3">
      <c r="B53" s="5" t="s">
        <v>45</v>
      </c>
      <c r="C53" s="5" t="s">
        <v>13</v>
      </c>
      <c r="D53" s="5">
        <v>31</v>
      </c>
      <c r="E53" s="5" t="s">
        <v>10</v>
      </c>
      <c r="F53" s="6">
        <v>44604</v>
      </c>
      <c r="G53" s="5" t="s">
        <v>11</v>
      </c>
      <c r="H53" s="28">
        <v>58100</v>
      </c>
      <c r="I53" s="5" t="s">
        <v>206</v>
      </c>
      <c r="J53" s="9">
        <f ca="1">(TODAY()-Combined_table[[#This Row],[Date Joined]])/365</f>
        <v>3.9616438356164383</v>
      </c>
      <c r="K53" s="5">
        <f>IF(Combined_table[[#This Row],[Rating]]="Exceptional",5,
IF(Combined_table[[#This Row],[Rating]]="Above Average",4,
IF(Combined_table[[#This Row],[Rating]]="Average",3,
IF(Combined_table[[#This Row],[Rating]]="Poor",2,
IF(Combined_table[[#This Row],[Rating]]="Very Poor",1,"")))))</f>
        <v>3</v>
      </c>
      <c r="L53" s="5"/>
    </row>
    <row r="54" spans="2:12" x14ac:dyDescent="0.3">
      <c r="B54" s="5" t="s">
        <v>135</v>
      </c>
      <c r="C54" s="5" t="s">
        <v>13</v>
      </c>
      <c r="D54" s="5">
        <v>31</v>
      </c>
      <c r="E54" s="5" t="s">
        <v>10</v>
      </c>
      <c r="F54" s="6">
        <v>44663</v>
      </c>
      <c r="G54" s="5" t="s">
        <v>11</v>
      </c>
      <c r="H54" s="28">
        <v>58100</v>
      </c>
      <c r="I54" s="5" t="s">
        <v>208</v>
      </c>
      <c r="J54" s="9">
        <f ca="1">(TODAY()-Combined_table[[#This Row],[Date Joined]])/365</f>
        <v>3.8</v>
      </c>
      <c r="K54" s="5">
        <f>IF(Combined_table[[#This Row],[Rating]]="Exceptional",5,
IF(Combined_table[[#This Row],[Rating]]="Above Average",4,
IF(Combined_table[[#This Row],[Rating]]="Average",3,
IF(Combined_table[[#This Row],[Rating]]="Poor",2,
IF(Combined_table[[#This Row],[Rating]]="Very Poor",1,"")))))</f>
        <v>3</v>
      </c>
      <c r="L54" s="5"/>
    </row>
    <row r="55" spans="2:12" x14ac:dyDescent="0.3">
      <c r="B55" s="5" t="s">
        <v>64</v>
      </c>
      <c r="C55" s="5" t="s">
        <v>13</v>
      </c>
      <c r="D55" s="5">
        <v>34</v>
      </c>
      <c r="E55" s="5" t="s">
        <v>10</v>
      </c>
      <c r="F55" s="6">
        <v>44594</v>
      </c>
      <c r="G55" s="5" t="s">
        <v>21</v>
      </c>
      <c r="H55" s="28">
        <v>58940</v>
      </c>
      <c r="I55" s="5" t="s">
        <v>206</v>
      </c>
      <c r="J55" s="9">
        <f ca="1">(TODAY()-Combined_table[[#This Row],[Date Joined]])/365</f>
        <v>3.989041095890411</v>
      </c>
      <c r="K55" s="5">
        <f>IF(Combined_table[[#This Row],[Rating]]="Exceptional",5,
IF(Combined_table[[#This Row],[Rating]]="Above Average",4,
IF(Combined_table[[#This Row],[Rating]]="Average",3,
IF(Combined_table[[#This Row],[Rating]]="Poor",2,
IF(Combined_table[[#This Row],[Rating]]="Very Poor",1,"")))))</f>
        <v>3</v>
      </c>
      <c r="L55" s="5"/>
    </row>
    <row r="56" spans="2:12" x14ac:dyDescent="0.3">
      <c r="B56" s="5" t="s">
        <v>133</v>
      </c>
      <c r="C56" s="5" t="s">
        <v>13</v>
      </c>
      <c r="D56" s="5">
        <v>34</v>
      </c>
      <c r="E56" s="5" t="s">
        <v>10</v>
      </c>
      <c r="F56" s="6">
        <v>44653</v>
      </c>
      <c r="G56" s="5" t="s">
        <v>21</v>
      </c>
      <c r="H56" s="28">
        <v>58940</v>
      </c>
      <c r="I56" s="5" t="s">
        <v>208</v>
      </c>
      <c r="J56" s="9">
        <f ca="1">(TODAY()-Combined_table[[#This Row],[Date Joined]])/365</f>
        <v>3.8273972602739725</v>
      </c>
      <c r="K56" s="5">
        <f>IF(Combined_table[[#This Row],[Rating]]="Exceptional",5,
IF(Combined_table[[#This Row],[Rating]]="Above Average",4,
IF(Combined_table[[#This Row],[Rating]]="Average",3,
IF(Combined_table[[#This Row],[Rating]]="Poor",2,
IF(Combined_table[[#This Row],[Rating]]="Very Poor",1,"")))))</f>
        <v>3</v>
      </c>
      <c r="L56" s="5"/>
    </row>
    <row r="57" spans="2:12" x14ac:dyDescent="0.3">
      <c r="B57" s="5" t="s">
        <v>107</v>
      </c>
      <c r="C57" s="5" t="s">
        <v>9</v>
      </c>
      <c r="D57" s="5">
        <v>19</v>
      </c>
      <c r="E57" s="5" t="s">
        <v>10</v>
      </c>
      <c r="F57" s="6">
        <v>44218</v>
      </c>
      <c r="G57" s="5" t="s">
        <v>16</v>
      </c>
      <c r="H57" s="28">
        <v>58960</v>
      </c>
      <c r="I57" s="5" t="s">
        <v>206</v>
      </c>
      <c r="J57" s="9">
        <f ca="1">(TODAY()-Combined_table[[#This Row],[Date Joined]])/365</f>
        <v>5.0191780821917806</v>
      </c>
      <c r="K57" s="5">
        <f>IF(Combined_table[[#This Row],[Rating]]="Exceptional",5,
IF(Combined_table[[#This Row],[Rating]]="Above Average",4,
IF(Combined_table[[#This Row],[Rating]]="Average",3,
IF(Combined_table[[#This Row],[Rating]]="Poor",2,
IF(Combined_table[[#This Row],[Rating]]="Very Poor",1,"")))))</f>
        <v>3</v>
      </c>
      <c r="L57" s="5"/>
    </row>
    <row r="58" spans="2:12" x14ac:dyDescent="0.3">
      <c r="B58" s="5" t="s">
        <v>161</v>
      </c>
      <c r="C58" s="5" t="s">
        <v>9</v>
      </c>
      <c r="D58" s="5">
        <v>19</v>
      </c>
      <c r="E58" s="5" t="s">
        <v>10</v>
      </c>
      <c r="F58" s="6">
        <v>44277</v>
      </c>
      <c r="G58" s="5" t="s">
        <v>16</v>
      </c>
      <c r="H58" s="28">
        <v>58960</v>
      </c>
      <c r="I58" s="5" t="s">
        <v>208</v>
      </c>
      <c r="J58" s="9">
        <f ca="1">(TODAY()-Combined_table[[#This Row],[Date Joined]])/365</f>
        <v>4.8575342465753426</v>
      </c>
      <c r="K58" s="5">
        <f>IF(Combined_table[[#This Row],[Rating]]="Exceptional",5,
IF(Combined_table[[#This Row],[Rating]]="Above Average",4,
IF(Combined_table[[#This Row],[Rating]]="Average",3,
IF(Combined_table[[#This Row],[Rating]]="Poor",2,
IF(Combined_table[[#This Row],[Rating]]="Very Poor",1,"")))))</f>
        <v>3</v>
      </c>
      <c r="L58" s="5"/>
    </row>
    <row r="59" spans="2:12" x14ac:dyDescent="0.3">
      <c r="B59" s="5" t="s">
        <v>109</v>
      </c>
      <c r="C59" s="5" t="s">
        <v>9</v>
      </c>
      <c r="D59" s="5">
        <v>33</v>
      </c>
      <c r="E59" s="5" t="s">
        <v>10</v>
      </c>
      <c r="F59" s="6">
        <v>44181</v>
      </c>
      <c r="G59" s="5" t="s">
        <v>21</v>
      </c>
      <c r="H59" s="28">
        <v>59430</v>
      </c>
      <c r="I59" s="5" t="s">
        <v>206</v>
      </c>
      <c r="J59" s="9">
        <f ca="1">(TODAY()-Combined_table[[#This Row],[Date Joined]])/365</f>
        <v>5.1205479452054794</v>
      </c>
      <c r="K59" s="5">
        <f>IF(Combined_table[[#This Row],[Rating]]="Exceptional",5,
IF(Combined_table[[#This Row],[Rating]]="Above Average",4,
IF(Combined_table[[#This Row],[Rating]]="Average",3,
IF(Combined_table[[#This Row],[Rating]]="Poor",2,
IF(Combined_table[[#This Row],[Rating]]="Very Poor",1,"")))))</f>
        <v>3</v>
      </c>
      <c r="L59" s="5"/>
    </row>
    <row r="60" spans="2:12" x14ac:dyDescent="0.3">
      <c r="B60" s="5" t="s">
        <v>196</v>
      </c>
      <c r="C60" s="5" t="s">
        <v>9</v>
      </c>
      <c r="D60" s="5">
        <v>33</v>
      </c>
      <c r="E60" s="5" t="s">
        <v>10</v>
      </c>
      <c r="F60" s="6">
        <v>44243</v>
      </c>
      <c r="G60" s="5" t="s">
        <v>21</v>
      </c>
      <c r="H60" s="28">
        <v>59430</v>
      </c>
      <c r="I60" s="5" t="s">
        <v>208</v>
      </c>
      <c r="J60" s="9">
        <f ca="1">(TODAY()-Combined_table[[#This Row],[Date Joined]])/365</f>
        <v>4.9506849315068493</v>
      </c>
      <c r="K60" s="5">
        <f>IF(Combined_table[[#This Row],[Rating]]="Exceptional",5,
IF(Combined_table[[#This Row],[Rating]]="Above Average",4,
IF(Combined_table[[#This Row],[Rating]]="Average",3,
IF(Combined_table[[#This Row],[Rating]]="Poor",2,
IF(Combined_table[[#This Row],[Rating]]="Very Poor",1,"")))))</f>
        <v>3</v>
      </c>
      <c r="L60" s="5"/>
    </row>
    <row r="61" spans="2:12" x14ac:dyDescent="0.3">
      <c r="B61" s="5" t="s">
        <v>93</v>
      </c>
      <c r="C61" s="5" t="s">
        <v>13</v>
      </c>
      <c r="D61" s="5">
        <v>34</v>
      </c>
      <c r="E61" s="5" t="s">
        <v>10</v>
      </c>
      <c r="F61" s="6">
        <v>44550</v>
      </c>
      <c r="G61" s="5" t="s">
        <v>21</v>
      </c>
      <c r="H61" s="28">
        <v>60130</v>
      </c>
      <c r="I61" s="5" t="s">
        <v>206</v>
      </c>
      <c r="J61" s="9">
        <f ca="1">(TODAY()-Combined_table[[#This Row],[Date Joined]])/365</f>
        <v>4.1095890410958908</v>
      </c>
      <c r="K61" s="5">
        <f>IF(Combined_table[[#This Row],[Rating]]="Exceptional",5,
IF(Combined_table[[#This Row],[Rating]]="Above Average",4,
IF(Combined_table[[#This Row],[Rating]]="Average",3,
IF(Combined_table[[#This Row],[Rating]]="Poor",2,
IF(Combined_table[[#This Row],[Rating]]="Very Poor",1,"")))))</f>
        <v>3</v>
      </c>
      <c r="L61" s="5"/>
    </row>
    <row r="62" spans="2:12" x14ac:dyDescent="0.3">
      <c r="B62" s="5" t="s">
        <v>142</v>
      </c>
      <c r="C62" s="5" t="s">
        <v>13</v>
      </c>
      <c r="D62" s="5">
        <v>34</v>
      </c>
      <c r="E62" s="5" t="s">
        <v>10</v>
      </c>
      <c r="F62" s="6">
        <v>44612</v>
      </c>
      <c r="G62" s="5" t="s">
        <v>21</v>
      </c>
      <c r="H62" s="28">
        <v>60130</v>
      </c>
      <c r="I62" s="5" t="s">
        <v>208</v>
      </c>
      <c r="J62" s="9">
        <f ca="1">(TODAY()-Combined_table[[#This Row],[Date Joined]])/365</f>
        <v>3.9397260273972603</v>
      </c>
      <c r="K62" s="5">
        <f>IF(Combined_table[[#This Row],[Rating]]="Exceptional",5,
IF(Combined_table[[#This Row],[Rating]]="Above Average",4,
IF(Combined_table[[#This Row],[Rating]]="Average",3,
IF(Combined_table[[#This Row],[Rating]]="Poor",2,
IF(Combined_table[[#This Row],[Rating]]="Very Poor",1,"")))))</f>
        <v>3</v>
      </c>
      <c r="L62" s="5"/>
    </row>
    <row r="63" spans="2:12" x14ac:dyDescent="0.3">
      <c r="B63" s="5" t="s">
        <v>71</v>
      </c>
      <c r="C63" s="5" t="s">
        <v>9</v>
      </c>
      <c r="D63" s="5">
        <v>30</v>
      </c>
      <c r="E63" s="5" t="s">
        <v>10</v>
      </c>
      <c r="F63" s="6">
        <v>44607</v>
      </c>
      <c r="G63" s="5" t="s">
        <v>16</v>
      </c>
      <c r="H63" s="28">
        <v>60570</v>
      </c>
      <c r="I63" s="5" t="s">
        <v>206</v>
      </c>
      <c r="J63" s="9">
        <f ca="1">(TODAY()-Combined_table[[#This Row],[Date Joined]])/365</f>
        <v>3.9534246575342467</v>
      </c>
      <c r="K63" s="5">
        <f>IF(Combined_table[[#This Row],[Rating]]="Exceptional",5,
IF(Combined_table[[#This Row],[Rating]]="Above Average",4,
IF(Combined_table[[#This Row],[Rating]]="Average",3,
IF(Combined_table[[#This Row],[Rating]]="Poor",2,
IF(Combined_table[[#This Row],[Rating]]="Very Poor",1,"")))))</f>
        <v>3</v>
      </c>
      <c r="L63" s="5"/>
    </row>
    <row r="64" spans="2:12" x14ac:dyDescent="0.3">
      <c r="B64" s="5" t="s">
        <v>182</v>
      </c>
      <c r="C64" s="5" t="s">
        <v>9</v>
      </c>
      <c r="D64" s="5">
        <v>30</v>
      </c>
      <c r="E64" s="5" t="s">
        <v>10</v>
      </c>
      <c r="F64" s="6">
        <v>44666</v>
      </c>
      <c r="G64" s="5" t="s">
        <v>16</v>
      </c>
      <c r="H64" s="28">
        <v>60570</v>
      </c>
      <c r="I64" s="5" t="s">
        <v>208</v>
      </c>
      <c r="J64" s="9">
        <f ca="1">(TODAY()-Combined_table[[#This Row],[Date Joined]])/365</f>
        <v>3.7917808219178082</v>
      </c>
      <c r="K64" s="5">
        <f>IF(Combined_table[[#This Row],[Rating]]="Exceptional",5,
IF(Combined_table[[#This Row],[Rating]]="Above Average",4,
IF(Combined_table[[#This Row],[Rating]]="Average",3,
IF(Combined_table[[#This Row],[Rating]]="Poor",2,
IF(Combined_table[[#This Row],[Rating]]="Very Poor",1,"")))))</f>
        <v>3</v>
      </c>
      <c r="L64" s="5"/>
    </row>
    <row r="65" spans="2:12" x14ac:dyDescent="0.3">
      <c r="B65" s="5" t="s">
        <v>101</v>
      </c>
      <c r="C65" s="5" t="s">
        <v>13</v>
      </c>
      <c r="D65" s="5">
        <v>24</v>
      </c>
      <c r="E65" s="5" t="s">
        <v>10</v>
      </c>
      <c r="F65" s="6">
        <v>44087</v>
      </c>
      <c r="G65" s="5" t="s">
        <v>11</v>
      </c>
      <c r="H65" s="28">
        <v>62780</v>
      </c>
      <c r="I65" s="5" t="s">
        <v>206</v>
      </c>
      <c r="J65" s="9">
        <f ca="1">(TODAY()-Combined_table[[#This Row],[Date Joined]])/365</f>
        <v>5.3780821917808215</v>
      </c>
      <c r="K65" s="5">
        <f>IF(Combined_table[[#This Row],[Rating]]="Exceptional",5,
IF(Combined_table[[#This Row],[Rating]]="Above Average",4,
IF(Combined_table[[#This Row],[Rating]]="Average",3,
IF(Combined_table[[#This Row],[Rating]]="Poor",2,
IF(Combined_table[[#This Row],[Rating]]="Very Poor",1,"")))))</f>
        <v>3</v>
      </c>
      <c r="L65" s="5"/>
    </row>
    <row r="66" spans="2:12" x14ac:dyDescent="0.3">
      <c r="B66" s="5" t="s">
        <v>120</v>
      </c>
      <c r="C66" s="5" t="s">
        <v>13</v>
      </c>
      <c r="D66" s="5">
        <v>24</v>
      </c>
      <c r="E66" s="5" t="s">
        <v>10</v>
      </c>
      <c r="F66" s="6">
        <v>44148</v>
      </c>
      <c r="G66" s="5" t="s">
        <v>11</v>
      </c>
      <c r="H66" s="28">
        <v>62780</v>
      </c>
      <c r="I66" s="5" t="s">
        <v>208</v>
      </c>
      <c r="J66" s="9">
        <f ca="1">(TODAY()-Combined_table[[#This Row],[Date Joined]])/365</f>
        <v>5.2109589041095887</v>
      </c>
      <c r="K66" s="5">
        <f>IF(Combined_table[[#This Row],[Rating]]="Exceptional",5,
IF(Combined_table[[#This Row],[Rating]]="Above Average",4,
IF(Combined_table[[#This Row],[Rating]]="Average",3,
IF(Combined_table[[#This Row],[Rating]]="Poor",2,
IF(Combined_table[[#This Row],[Rating]]="Very Poor",1,"")))))</f>
        <v>3</v>
      </c>
      <c r="L66" s="5"/>
    </row>
    <row r="67" spans="2:12" x14ac:dyDescent="0.3">
      <c r="B67" s="5" t="s">
        <v>74</v>
      </c>
      <c r="C67" s="5" t="s">
        <v>207</v>
      </c>
      <c r="D67" s="5">
        <v>30</v>
      </c>
      <c r="E67" s="5" t="s">
        <v>10</v>
      </c>
      <c r="F67" s="6">
        <v>44535</v>
      </c>
      <c r="G67" s="5" t="s">
        <v>21</v>
      </c>
      <c r="H67" s="28">
        <v>64000</v>
      </c>
      <c r="I67" s="5" t="s">
        <v>206</v>
      </c>
      <c r="J67" s="9">
        <f ca="1">(TODAY()-Combined_table[[#This Row],[Date Joined]])/365</f>
        <v>4.1506849315068495</v>
      </c>
      <c r="K67" s="5">
        <f>IF(Combined_table[[#This Row],[Rating]]="Exceptional",5,
IF(Combined_table[[#This Row],[Rating]]="Above Average",4,
IF(Combined_table[[#This Row],[Rating]]="Average",3,
IF(Combined_table[[#This Row],[Rating]]="Poor",2,
IF(Combined_table[[#This Row],[Rating]]="Very Poor",1,"")))))</f>
        <v>3</v>
      </c>
      <c r="L67" s="5"/>
    </row>
    <row r="68" spans="2:12" x14ac:dyDescent="0.3">
      <c r="B68" s="5" t="s">
        <v>137</v>
      </c>
      <c r="C68" s="5" t="s">
        <v>207</v>
      </c>
      <c r="D68" s="5">
        <v>30</v>
      </c>
      <c r="E68" s="5" t="s">
        <v>10</v>
      </c>
      <c r="F68" s="6">
        <v>44597</v>
      </c>
      <c r="G68" s="5" t="s">
        <v>21</v>
      </c>
      <c r="H68" s="28">
        <v>64000</v>
      </c>
      <c r="I68" s="5" t="s">
        <v>208</v>
      </c>
      <c r="J68" s="9">
        <f ca="1">(TODAY()-Combined_table[[#This Row],[Date Joined]])/365</f>
        <v>3.9808219178082194</v>
      </c>
      <c r="K68" s="5">
        <f>IF(Combined_table[[#This Row],[Rating]]="Exceptional",5,
IF(Combined_table[[#This Row],[Rating]]="Above Average",4,
IF(Combined_table[[#This Row],[Rating]]="Average",3,
IF(Combined_table[[#This Row],[Rating]]="Poor",2,
IF(Combined_table[[#This Row],[Rating]]="Very Poor",1,"")))))</f>
        <v>3</v>
      </c>
      <c r="L68" s="5"/>
    </row>
    <row r="69" spans="2:12" x14ac:dyDescent="0.3">
      <c r="B69" s="5" t="s">
        <v>73</v>
      </c>
      <c r="C69" s="5" t="s">
        <v>13</v>
      </c>
      <c r="D69" s="5">
        <v>33</v>
      </c>
      <c r="E69" s="5" t="s">
        <v>10</v>
      </c>
      <c r="F69" s="6">
        <v>44006</v>
      </c>
      <c r="G69" s="5" t="s">
        <v>21</v>
      </c>
      <c r="H69" s="28">
        <v>65360</v>
      </c>
      <c r="I69" s="5" t="s">
        <v>206</v>
      </c>
      <c r="J69" s="9">
        <f ca="1">(TODAY()-Combined_table[[#This Row],[Date Joined]])/365</f>
        <v>5.6</v>
      </c>
      <c r="K69" s="5">
        <f>IF(Combined_table[[#This Row],[Rating]]="Exceptional",5,
IF(Combined_table[[#This Row],[Rating]]="Above Average",4,
IF(Combined_table[[#This Row],[Rating]]="Average",3,
IF(Combined_table[[#This Row],[Rating]]="Poor",2,
IF(Combined_table[[#This Row],[Rating]]="Very Poor",1,"")))))</f>
        <v>3</v>
      </c>
      <c r="L69" s="5"/>
    </row>
    <row r="70" spans="2:12" x14ac:dyDescent="0.3">
      <c r="B70" s="5" t="s">
        <v>197</v>
      </c>
      <c r="C70" s="5" t="s">
        <v>13</v>
      </c>
      <c r="D70" s="5">
        <v>33</v>
      </c>
      <c r="E70" s="5" t="s">
        <v>10</v>
      </c>
      <c r="F70" s="6">
        <v>44067</v>
      </c>
      <c r="G70" s="5" t="s">
        <v>21</v>
      </c>
      <c r="H70" s="28">
        <v>65360</v>
      </c>
      <c r="I70" s="5" t="s">
        <v>208</v>
      </c>
      <c r="J70" s="9">
        <f ca="1">(TODAY()-Combined_table[[#This Row],[Date Joined]])/365</f>
        <v>5.4328767123287669</v>
      </c>
      <c r="K70" s="5">
        <f>IF(Combined_table[[#This Row],[Rating]]="Exceptional",5,
IF(Combined_table[[#This Row],[Rating]]="Above Average",4,
IF(Combined_table[[#This Row],[Rating]]="Average",3,
IF(Combined_table[[#This Row],[Rating]]="Poor",2,
IF(Combined_table[[#This Row],[Rating]]="Very Poor",1,"")))))</f>
        <v>3</v>
      </c>
      <c r="L70" s="5"/>
    </row>
    <row r="71" spans="2:12" x14ac:dyDescent="0.3">
      <c r="B71" s="5" t="s">
        <v>103</v>
      </c>
      <c r="C71" s="5" t="s">
        <v>9</v>
      </c>
      <c r="D71" s="5">
        <v>25</v>
      </c>
      <c r="E71" s="5" t="s">
        <v>10</v>
      </c>
      <c r="F71" s="6">
        <v>44322</v>
      </c>
      <c r="G71" s="5" t="s">
        <v>23</v>
      </c>
      <c r="H71" s="28">
        <v>65700</v>
      </c>
      <c r="I71" s="5" t="s">
        <v>206</v>
      </c>
      <c r="J71" s="9">
        <f ca="1">(TODAY()-Combined_table[[#This Row],[Date Joined]])/365</f>
        <v>4.7342465753424658</v>
      </c>
      <c r="K71" s="5">
        <f>IF(Combined_table[[#This Row],[Rating]]="Exceptional",5,
IF(Combined_table[[#This Row],[Rating]]="Above Average",4,
IF(Combined_table[[#This Row],[Rating]]="Average",3,
IF(Combined_table[[#This Row],[Rating]]="Poor",2,
IF(Combined_table[[#This Row],[Rating]]="Very Poor",1,"")))))</f>
        <v>3</v>
      </c>
      <c r="L71" s="5"/>
    </row>
    <row r="72" spans="2:12" x14ac:dyDescent="0.3">
      <c r="B72" s="5" t="s">
        <v>124</v>
      </c>
      <c r="C72" s="5" t="s">
        <v>9</v>
      </c>
      <c r="D72" s="5">
        <v>25</v>
      </c>
      <c r="E72" s="5" t="s">
        <v>10</v>
      </c>
      <c r="F72" s="6">
        <v>44383</v>
      </c>
      <c r="G72" s="5" t="s">
        <v>23</v>
      </c>
      <c r="H72" s="28">
        <v>65700</v>
      </c>
      <c r="I72" s="5" t="s">
        <v>208</v>
      </c>
      <c r="J72" s="9">
        <f ca="1">(TODAY()-Combined_table[[#This Row],[Date Joined]])/365</f>
        <v>4.5671232876712331</v>
      </c>
      <c r="K72" s="5">
        <f>IF(Combined_table[[#This Row],[Rating]]="Exceptional",5,
IF(Combined_table[[#This Row],[Rating]]="Above Average",4,
IF(Combined_table[[#This Row],[Rating]]="Average",3,
IF(Combined_table[[#This Row],[Rating]]="Poor",2,
IF(Combined_table[[#This Row],[Rating]]="Very Poor",1,"")))))</f>
        <v>3</v>
      </c>
      <c r="L72" s="5"/>
    </row>
    <row r="73" spans="2:12" x14ac:dyDescent="0.3">
      <c r="B73" s="5" t="s">
        <v>50</v>
      </c>
      <c r="C73" s="5" t="s">
        <v>13</v>
      </c>
      <c r="D73" s="5">
        <v>21</v>
      </c>
      <c r="E73" s="5" t="s">
        <v>10</v>
      </c>
      <c r="F73" s="6">
        <v>44256</v>
      </c>
      <c r="G73" s="5" t="s">
        <v>21</v>
      </c>
      <c r="H73" s="28">
        <v>65920</v>
      </c>
      <c r="I73" s="5" t="s">
        <v>206</v>
      </c>
      <c r="J73" s="9">
        <f ca="1">(TODAY()-Combined_table[[#This Row],[Date Joined]])/365</f>
        <v>4.9150684931506845</v>
      </c>
      <c r="K73" s="5">
        <f>IF(Combined_table[[#This Row],[Rating]]="Exceptional",5,
IF(Combined_table[[#This Row],[Rating]]="Above Average",4,
IF(Combined_table[[#This Row],[Rating]]="Average",3,
IF(Combined_table[[#This Row],[Rating]]="Poor",2,
IF(Combined_table[[#This Row],[Rating]]="Very Poor",1,"")))))</f>
        <v>3</v>
      </c>
      <c r="L73" s="5"/>
    </row>
    <row r="74" spans="2:12" x14ac:dyDescent="0.3">
      <c r="B74" s="5" t="s">
        <v>180</v>
      </c>
      <c r="C74" s="5" t="s">
        <v>13</v>
      </c>
      <c r="D74" s="5">
        <v>21</v>
      </c>
      <c r="E74" s="5" t="s">
        <v>10</v>
      </c>
      <c r="F74" s="6">
        <v>44317</v>
      </c>
      <c r="G74" s="5" t="s">
        <v>21</v>
      </c>
      <c r="H74" s="28">
        <v>65920</v>
      </c>
      <c r="I74" s="5" t="s">
        <v>208</v>
      </c>
      <c r="J74" s="9">
        <f ca="1">(TODAY()-Combined_table[[#This Row],[Date Joined]])/365</f>
        <v>4.7479452054794518</v>
      </c>
      <c r="K74" s="5">
        <f>IF(Combined_table[[#This Row],[Rating]]="Exceptional",5,
IF(Combined_table[[#This Row],[Rating]]="Above Average",4,
IF(Combined_table[[#This Row],[Rating]]="Average",3,
IF(Combined_table[[#This Row],[Rating]]="Poor",2,
IF(Combined_table[[#This Row],[Rating]]="Very Poor",1,"")))))</f>
        <v>3</v>
      </c>
      <c r="L74" s="5"/>
    </row>
    <row r="75" spans="2:12" x14ac:dyDescent="0.3">
      <c r="B75" s="5" t="s">
        <v>91</v>
      </c>
      <c r="C75" s="5" t="s">
        <v>13</v>
      </c>
      <c r="D75" s="5">
        <v>30</v>
      </c>
      <c r="E75" s="5" t="s">
        <v>20</v>
      </c>
      <c r="F75" s="6">
        <v>44328</v>
      </c>
      <c r="G75" s="5" t="s">
        <v>21</v>
      </c>
      <c r="H75" s="28">
        <v>67910</v>
      </c>
      <c r="I75" s="5" t="s">
        <v>206</v>
      </c>
      <c r="J75" s="9">
        <f ca="1">(TODAY()-Combined_table[[#This Row],[Date Joined]])/365</f>
        <v>4.7178082191780826</v>
      </c>
      <c r="K75" s="5">
        <f>IF(Combined_table[[#This Row],[Rating]]="Exceptional",5,
IF(Combined_table[[#This Row],[Rating]]="Above Average",4,
IF(Combined_table[[#This Row],[Rating]]="Average",3,
IF(Combined_table[[#This Row],[Rating]]="Poor",2,
IF(Combined_table[[#This Row],[Rating]]="Very Poor",1,"")))))</f>
        <v>2</v>
      </c>
      <c r="L75" s="5"/>
    </row>
    <row r="76" spans="2:12" x14ac:dyDescent="0.3">
      <c r="B76" s="5" t="s">
        <v>134</v>
      </c>
      <c r="C76" s="5" t="s">
        <v>13</v>
      </c>
      <c r="D76" s="5">
        <v>30</v>
      </c>
      <c r="E76" s="5" t="s">
        <v>20</v>
      </c>
      <c r="F76" s="6">
        <v>44389</v>
      </c>
      <c r="G76" s="5" t="s">
        <v>21</v>
      </c>
      <c r="H76" s="28">
        <v>67910</v>
      </c>
      <c r="I76" s="5" t="s">
        <v>208</v>
      </c>
      <c r="J76" s="9">
        <f ca="1">(TODAY()-Combined_table[[#This Row],[Date Joined]])/365</f>
        <v>4.5506849315068489</v>
      </c>
      <c r="K76" s="5">
        <f>IF(Combined_table[[#This Row],[Rating]]="Exceptional",5,
IF(Combined_table[[#This Row],[Rating]]="Above Average",4,
IF(Combined_table[[#This Row],[Rating]]="Average",3,
IF(Combined_table[[#This Row],[Rating]]="Poor",2,
IF(Combined_table[[#This Row],[Rating]]="Very Poor",1,"")))))</f>
        <v>2</v>
      </c>
      <c r="L76" s="5"/>
    </row>
    <row r="77" spans="2:12" x14ac:dyDescent="0.3">
      <c r="B77" s="5" t="s">
        <v>99</v>
      </c>
      <c r="C77" s="5" t="s">
        <v>9</v>
      </c>
      <c r="D77" s="5">
        <v>30</v>
      </c>
      <c r="E77" s="5" t="s">
        <v>10</v>
      </c>
      <c r="F77" s="6">
        <v>44640</v>
      </c>
      <c r="G77" s="5" t="s">
        <v>16</v>
      </c>
      <c r="H77" s="28">
        <v>67950</v>
      </c>
      <c r="I77" s="5" t="s">
        <v>206</v>
      </c>
      <c r="J77" s="9">
        <f ca="1">(TODAY()-Combined_table[[#This Row],[Date Joined]])/365</f>
        <v>3.8630136986301369</v>
      </c>
      <c r="K77" s="5">
        <f>IF(Combined_table[[#This Row],[Rating]]="Exceptional",5,
IF(Combined_table[[#This Row],[Rating]]="Above Average",4,
IF(Combined_table[[#This Row],[Rating]]="Average",3,
IF(Combined_table[[#This Row],[Rating]]="Poor",2,
IF(Combined_table[[#This Row],[Rating]]="Very Poor",1,"")))))</f>
        <v>3</v>
      </c>
      <c r="L77" s="5"/>
    </row>
    <row r="78" spans="2:12" x14ac:dyDescent="0.3">
      <c r="B78" s="5" t="s">
        <v>201</v>
      </c>
      <c r="C78" s="5" t="s">
        <v>9</v>
      </c>
      <c r="D78" s="5">
        <v>30</v>
      </c>
      <c r="E78" s="5" t="s">
        <v>10</v>
      </c>
      <c r="F78" s="6">
        <v>44701</v>
      </c>
      <c r="G78" s="5" t="s">
        <v>16</v>
      </c>
      <c r="H78" s="28">
        <v>67950</v>
      </c>
      <c r="I78" s="5" t="s">
        <v>208</v>
      </c>
      <c r="J78" s="9">
        <f ca="1">(TODAY()-Combined_table[[#This Row],[Date Joined]])/365</f>
        <v>3.6958904109589041</v>
      </c>
      <c r="K78" s="5">
        <f>IF(Combined_table[[#This Row],[Rating]]="Exceptional",5,
IF(Combined_table[[#This Row],[Rating]]="Above Average",4,
IF(Combined_table[[#This Row],[Rating]]="Average",3,
IF(Combined_table[[#This Row],[Rating]]="Poor",2,
IF(Combined_table[[#This Row],[Rating]]="Very Poor",1,"")))))</f>
        <v>3</v>
      </c>
      <c r="L78" s="5"/>
    </row>
    <row r="79" spans="2:12" x14ac:dyDescent="0.3">
      <c r="B79" s="5" t="s">
        <v>79</v>
      </c>
      <c r="C79" s="5" t="s">
        <v>13</v>
      </c>
      <c r="D79" s="5">
        <v>20</v>
      </c>
      <c r="E79" s="5" t="s">
        <v>20</v>
      </c>
      <c r="F79" s="6">
        <v>44476</v>
      </c>
      <c r="G79" s="5" t="s">
        <v>23</v>
      </c>
      <c r="H79" s="28">
        <v>68900</v>
      </c>
      <c r="I79" s="5" t="s">
        <v>206</v>
      </c>
      <c r="J79" s="9">
        <f ca="1">(TODAY()-Combined_table[[#This Row],[Date Joined]])/365</f>
        <v>4.3123287671232875</v>
      </c>
      <c r="K79" s="5">
        <f>IF(Combined_table[[#This Row],[Rating]]="Exceptional",5,
IF(Combined_table[[#This Row],[Rating]]="Above Average",4,
IF(Combined_table[[#This Row],[Rating]]="Average",3,
IF(Combined_table[[#This Row],[Rating]]="Poor",2,
IF(Combined_table[[#This Row],[Rating]]="Very Poor",1,"")))))</f>
        <v>2</v>
      </c>
      <c r="L79" s="5"/>
    </row>
    <row r="80" spans="2:12" x14ac:dyDescent="0.3">
      <c r="B80" s="5" t="s">
        <v>159</v>
      </c>
      <c r="C80" s="5" t="s">
        <v>13</v>
      </c>
      <c r="D80" s="5">
        <v>20</v>
      </c>
      <c r="E80" s="5" t="s">
        <v>20</v>
      </c>
      <c r="F80" s="6">
        <v>44537</v>
      </c>
      <c r="G80" s="5" t="s">
        <v>23</v>
      </c>
      <c r="H80" s="28">
        <v>68900</v>
      </c>
      <c r="I80" s="5" t="s">
        <v>208</v>
      </c>
      <c r="J80" s="9">
        <f ca="1">(TODAY()-Combined_table[[#This Row],[Date Joined]])/365</f>
        <v>4.1452054794520548</v>
      </c>
      <c r="K80" s="5">
        <f>IF(Combined_table[[#This Row],[Rating]]="Exceptional",5,
IF(Combined_table[[#This Row],[Rating]]="Above Average",4,
IF(Combined_table[[#This Row],[Rating]]="Average",3,
IF(Combined_table[[#This Row],[Rating]]="Poor",2,
IF(Combined_table[[#This Row],[Rating]]="Very Poor",1,"")))))</f>
        <v>2</v>
      </c>
      <c r="L80" s="5"/>
    </row>
    <row r="81" spans="2:15" x14ac:dyDescent="0.3">
      <c r="B81" s="5" t="s">
        <v>90</v>
      </c>
      <c r="C81" s="5" t="s">
        <v>9</v>
      </c>
      <c r="D81" s="5">
        <v>37</v>
      </c>
      <c r="E81" s="5" t="s">
        <v>10</v>
      </c>
      <c r="F81" s="6">
        <v>44640</v>
      </c>
      <c r="G81" s="5" t="s">
        <v>11</v>
      </c>
      <c r="H81" s="28">
        <v>69070</v>
      </c>
      <c r="I81" s="5" t="s">
        <v>206</v>
      </c>
      <c r="J81" s="9">
        <f ca="1">(TODAY()-Combined_table[[#This Row],[Date Joined]])/365</f>
        <v>3.8630136986301369</v>
      </c>
      <c r="K81" s="5">
        <f>IF(Combined_table[[#This Row],[Rating]]="Exceptional",5,
IF(Combined_table[[#This Row],[Rating]]="Above Average",4,
IF(Combined_table[[#This Row],[Rating]]="Average",3,
IF(Combined_table[[#This Row],[Rating]]="Poor",2,
IF(Combined_table[[#This Row],[Rating]]="Very Poor",1,"")))))</f>
        <v>3</v>
      </c>
      <c r="L81" s="5"/>
    </row>
    <row r="82" spans="2:15" x14ac:dyDescent="0.3">
      <c r="B82" s="5" t="s">
        <v>125</v>
      </c>
      <c r="C82" s="5" t="s">
        <v>9</v>
      </c>
      <c r="D82" s="5">
        <v>37</v>
      </c>
      <c r="E82" s="5" t="s">
        <v>10</v>
      </c>
      <c r="F82" s="6">
        <v>44701</v>
      </c>
      <c r="G82" s="5" t="s">
        <v>11</v>
      </c>
      <c r="H82" s="28">
        <v>69070</v>
      </c>
      <c r="I82" s="5" t="s">
        <v>208</v>
      </c>
      <c r="J82" s="9">
        <f ca="1">(TODAY()-Combined_table[[#This Row],[Date Joined]])/365</f>
        <v>3.6958904109589041</v>
      </c>
      <c r="K82" s="5">
        <f>IF(Combined_table[[#This Row],[Rating]]="Exceptional",5,
IF(Combined_table[[#This Row],[Rating]]="Above Average",4,
IF(Combined_table[[#This Row],[Rating]]="Average",3,
IF(Combined_table[[#This Row],[Rating]]="Poor",2,
IF(Combined_table[[#This Row],[Rating]]="Very Poor",1,"")))))</f>
        <v>3</v>
      </c>
      <c r="L82" s="5"/>
      <c r="N82" t="s">
        <v>42</v>
      </c>
      <c r="O82">
        <v>5</v>
      </c>
    </row>
    <row r="83" spans="2:15" x14ac:dyDescent="0.3">
      <c r="B83" s="5" t="s">
        <v>92</v>
      </c>
      <c r="C83" s="5" t="s">
        <v>9</v>
      </c>
      <c r="D83" s="5">
        <v>30</v>
      </c>
      <c r="E83" s="5" t="s">
        <v>10</v>
      </c>
      <c r="F83" s="6">
        <v>44214</v>
      </c>
      <c r="G83" s="5" t="s">
        <v>11</v>
      </c>
      <c r="H83" s="28">
        <v>69120</v>
      </c>
      <c r="I83" s="5" t="s">
        <v>206</v>
      </c>
      <c r="J83" s="9">
        <f ca="1">(TODAY()-Combined_table[[#This Row],[Date Joined]])/365</f>
        <v>5.0301369863013701</v>
      </c>
      <c r="K83" s="5">
        <f>IF(Combined_table[[#This Row],[Rating]]="Exceptional",5,
IF(Combined_table[[#This Row],[Rating]]="Above Average",4,
IF(Combined_table[[#This Row],[Rating]]="Average",3,
IF(Combined_table[[#This Row],[Rating]]="Poor",2,
IF(Combined_table[[#This Row],[Rating]]="Very Poor",1,"")))))</f>
        <v>3</v>
      </c>
      <c r="L83" s="5"/>
      <c r="N83" t="s">
        <v>241</v>
      </c>
      <c r="O83">
        <v>4</v>
      </c>
    </row>
    <row r="84" spans="2:15" x14ac:dyDescent="0.3">
      <c r="B84" s="5" t="s">
        <v>170</v>
      </c>
      <c r="C84" s="5" t="s">
        <v>9</v>
      </c>
      <c r="D84" s="5">
        <v>30</v>
      </c>
      <c r="E84" s="5" t="s">
        <v>10</v>
      </c>
      <c r="F84" s="6">
        <v>44273</v>
      </c>
      <c r="G84" s="5" t="s">
        <v>11</v>
      </c>
      <c r="H84" s="28">
        <v>69120</v>
      </c>
      <c r="I84" s="5" t="s">
        <v>208</v>
      </c>
      <c r="J84" s="9">
        <f ca="1">(TODAY()-Combined_table[[#This Row],[Date Joined]])/365</f>
        <v>4.8684931506849312</v>
      </c>
      <c r="K84" s="5">
        <f>IF(Combined_table[[#This Row],[Rating]]="Exceptional",5,
IF(Combined_table[[#This Row],[Rating]]="Above Average",4,
IF(Combined_table[[#This Row],[Rating]]="Average",3,
IF(Combined_table[[#This Row],[Rating]]="Poor",2,
IF(Combined_table[[#This Row],[Rating]]="Very Poor",1,"")))))</f>
        <v>3</v>
      </c>
      <c r="L84" s="5"/>
      <c r="N84" t="s">
        <v>10</v>
      </c>
      <c r="O84">
        <v>3</v>
      </c>
    </row>
    <row r="85" spans="2:15" x14ac:dyDescent="0.3">
      <c r="B85" s="5" t="s">
        <v>35</v>
      </c>
      <c r="C85" s="5" t="s">
        <v>9</v>
      </c>
      <c r="D85" s="5">
        <v>30</v>
      </c>
      <c r="E85" s="5" t="s">
        <v>10</v>
      </c>
      <c r="F85" s="6">
        <v>44789</v>
      </c>
      <c r="G85" s="5" t="s">
        <v>11</v>
      </c>
      <c r="H85" s="28">
        <v>69710</v>
      </c>
      <c r="I85" s="5" t="s">
        <v>206</v>
      </c>
      <c r="J85" s="9">
        <f ca="1">(TODAY()-Combined_table[[#This Row],[Date Joined]])/365</f>
        <v>3.4547945205479453</v>
      </c>
      <c r="K85" s="5">
        <f>IF(Combined_table[[#This Row],[Rating]]="Exceptional",5,
IF(Combined_table[[#This Row],[Rating]]="Above Average",4,
IF(Combined_table[[#This Row],[Rating]]="Average",3,
IF(Combined_table[[#This Row],[Rating]]="Poor",2,
IF(Combined_table[[#This Row],[Rating]]="Very Poor",1,"")))))</f>
        <v>3</v>
      </c>
      <c r="L85" s="5"/>
      <c r="N85" t="s">
        <v>20</v>
      </c>
      <c r="O85">
        <v>2</v>
      </c>
    </row>
    <row r="86" spans="2:15" x14ac:dyDescent="0.3">
      <c r="B86" s="5" t="s">
        <v>166</v>
      </c>
      <c r="C86" s="5" t="s">
        <v>9</v>
      </c>
      <c r="D86" s="5">
        <v>30</v>
      </c>
      <c r="E86" s="5" t="s">
        <v>10</v>
      </c>
      <c r="F86" s="6">
        <v>44850</v>
      </c>
      <c r="G86" s="5" t="s">
        <v>11</v>
      </c>
      <c r="H86" s="28">
        <v>69710</v>
      </c>
      <c r="I86" s="5" t="s">
        <v>208</v>
      </c>
      <c r="J86" s="9">
        <f ca="1">(TODAY()-Combined_table[[#This Row],[Date Joined]])/365</f>
        <v>3.2876712328767121</v>
      </c>
      <c r="K86" s="5">
        <f>IF(Combined_table[[#This Row],[Rating]]="Exceptional",5,
IF(Combined_table[[#This Row],[Rating]]="Above Average",4,
IF(Combined_table[[#This Row],[Rating]]="Average",3,
IF(Combined_table[[#This Row],[Rating]]="Poor",2,
IF(Combined_table[[#This Row],[Rating]]="Very Poor",1,"")))))</f>
        <v>3</v>
      </c>
      <c r="L86" s="5"/>
      <c r="N86" t="s">
        <v>242</v>
      </c>
      <c r="O86">
        <v>1</v>
      </c>
    </row>
    <row r="87" spans="2:15" x14ac:dyDescent="0.3">
      <c r="B87" s="5" t="s">
        <v>68</v>
      </c>
      <c r="C87" s="5" t="s">
        <v>9</v>
      </c>
      <c r="D87" s="5">
        <v>42</v>
      </c>
      <c r="E87" s="5" t="s">
        <v>20</v>
      </c>
      <c r="F87" s="6">
        <v>44670</v>
      </c>
      <c r="G87" s="5" t="s">
        <v>21</v>
      </c>
      <c r="H87" s="28">
        <v>70270</v>
      </c>
      <c r="I87" s="5" t="s">
        <v>206</v>
      </c>
      <c r="J87" s="9">
        <f ca="1">(TODAY()-Combined_table[[#This Row],[Date Joined]])/365</f>
        <v>3.7808219178082192</v>
      </c>
      <c r="K87" s="5">
        <f>IF(Combined_table[[#This Row],[Rating]]="Exceptional",5,
IF(Combined_table[[#This Row],[Rating]]="Above Average",4,
IF(Combined_table[[#This Row],[Rating]]="Average",3,
IF(Combined_table[[#This Row],[Rating]]="Poor",2,
IF(Combined_table[[#This Row],[Rating]]="Very Poor",1,"")))))</f>
        <v>2</v>
      </c>
      <c r="L87" s="5"/>
    </row>
    <row r="88" spans="2:15" x14ac:dyDescent="0.3">
      <c r="B88" s="5" t="s">
        <v>202</v>
      </c>
      <c r="C88" s="5" t="s">
        <v>9</v>
      </c>
      <c r="D88" s="5">
        <v>42</v>
      </c>
      <c r="E88" s="5" t="s">
        <v>20</v>
      </c>
      <c r="F88" s="6">
        <v>44731</v>
      </c>
      <c r="G88" s="5" t="s">
        <v>21</v>
      </c>
      <c r="H88" s="28">
        <v>70270</v>
      </c>
      <c r="I88" s="5" t="s">
        <v>208</v>
      </c>
      <c r="J88" s="9">
        <f ca="1">(TODAY()-Combined_table[[#This Row],[Date Joined]])/365</f>
        <v>3.6136986301369864</v>
      </c>
      <c r="K88" s="5">
        <f>IF(Combined_table[[#This Row],[Rating]]="Exceptional",5,
IF(Combined_table[[#This Row],[Rating]]="Above Average",4,
IF(Combined_table[[#This Row],[Rating]]="Average",3,
IF(Combined_table[[#This Row],[Rating]]="Poor",2,
IF(Combined_table[[#This Row],[Rating]]="Very Poor",1,"")))))</f>
        <v>2</v>
      </c>
      <c r="L88" s="5"/>
    </row>
    <row r="89" spans="2:15" x14ac:dyDescent="0.3">
      <c r="B89" s="5" t="s">
        <v>108</v>
      </c>
      <c r="C89" s="5" t="s">
        <v>9</v>
      </c>
      <c r="D89" s="5">
        <v>46</v>
      </c>
      <c r="E89" s="5" t="s">
        <v>10</v>
      </c>
      <c r="F89" s="6">
        <v>44697</v>
      </c>
      <c r="G89" s="5" t="s">
        <v>16</v>
      </c>
      <c r="H89" s="28">
        <v>70610</v>
      </c>
      <c r="I89" s="5" t="s">
        <v>206</v>
      </c>
      <c r="J89" s="9">
        <f ca="1">(TODAY()-Combined_table[[#This Row],[Date Joined]])/365</f>
        <v>3.7068493150684931</v>
      </c>
      <c r="K89" s="5">
        <f>IF(Combined_table[[#This Row],[Rating]]="Exceptional",5,
IF(Combined_table[[#This Row],[Rating]]="Above Average",4,
IF(Combined_table[[#This Row],[Rating]]="Average",3,
IF(Combined_table[[#This Row],[Rating]]="Poor",2,
IF(Combined_table[[#This Row],[Rating]]="Very Poor",1,"")))))</f>
        <v>3</v>
      </c>
      <c r="L89" s="5"/>
    </row>
    <row r="90" spans="2:15" x14ac:dyDescent="0.3">
      <c r="B90" s="5" t="s">
        <v>114</v>
      </c>
      <c r="C90" s="5" t="s">
        <v>9</v>
      </c>
      <c r="D90" s="5">
        <v>46</v>
      </c>
      <c r="E90" s="5" t="s">
        <v>10</v>
      </c>
      <c r="F90" s="6">
        <v>44758</v>
      </c>
      <c r="G90" s="5" t="s">
        <v>16</v>
      </c>
      <c r="H90" s="28">
        <v>70610</v>
      </c>
      <c r="I90" s="5" t="s">
        <v>208</v>
      </c>
      <c r="J90" s="9">
        <f ca="1">(TODAY()-Combined_table[[#This Row],[Date Joined]])/365</f>
        <v>3.5397260273972604</v>
      </c>
      <c r="K90" s="5">
        <f>IF(Combined_table[[#This Row],[Rating]]="Exceptional",5,
IF(Combined_table[[#This Row],[Rating]]="Above Average",4,
IF(Combined_table[[#This Row],[Rating]]="Average",3,
IF(Combined_table[[#This Row],[Rating]]="Poor",2,
IF(Combined_table[[#This Row],[Rating]]="Very Poor",1,"")))))</f>
        <v>3</v>
      </c>
      <c r="L90" s="5"/>
    </row>
    <row r="91" spans="2:15" x14ac:dyDescent="0.3">
      <c r="B91" s="5" t="s">
        <v>86</v>
      </c>
      <c r="C91" s="5" t="s">
        <v>9</v>
      </c>
      <c r="D91" s="5">
        <v>36</v>
      </c>
      <c r="E91" s="5" t="s">
        <v>10</v>
      </c>
      <c r="F91" s="6">
        <v>44272</v>
      </c>
      <c r="G91" s="5" t="s">
        <v>21</v>
      </c>
      <c r="H91" s="28">
        <v>71380</v>
      </c>
      <c r="I91" s="5" t="s">
        <v>206</v>
      </c>
      <c r="J91" s="9">
        <f ca="1">(TODAY()-Combined_table[[#This Row],[Date Joined]])/365</f>
        <v>4.8712328767123285</v>
      </c>
      <c r="K91" s="5">
        <f>IF(Combined_table[[#This Row],[Rating]]="Exceptional",5,
IF(Combined_table[[#This Row],[Rating]]="Above Average",4,
IF(Combined_table[[#This Row],[Rating]]="Average",3,
IF(Combined_table[[#This Row],[Rating]]="Poor",2,
IF(Combined_table[[#This Row],[Rating]]="Very Poor",1,"")))))</f>
        <v>3</v>
      </c>
      <c r="L91" s="5"/>
    </row>
    <row r="92" spans="2:15" x14ac:dyDescent="0.3">
      <c r="B92" s="5" t="s">
        <v>167</v>
      </c>
      <c r="C92" s="5" t="s">
        <v>9</v>
      </c>
      <c r="D92" s="5">
        <v>36</v>
      </c>
      <c r="E92" s="5" t="s">
        <v>10</v>
      </c>
      <c r="F92" s="6">
        <v>44333</v>
      </c>
      <c r="G92" s="5" t="s">
        <v>21</v>
      </c>
      <c r="H92" s="28">
        <v>71380</v>
      </c>
      <c r="I92" s="5" t="s">
        <v>208</v>
      </c>
      <c r="J92" s="9">
        <f ca="1">(TODAY()-Combined_table[[#This Row],[Date Joined]])/365</f>
        <v>4.7041095890410958</v>
      </c>
      <c r="K92" s="5">
        <f>IF(Combined_table[[#This Row],[Rating]]="Exceptional",5,
IF(Combined_table[[#This Row],[Rating]]="Above Average",4,
IF(Combined_table[[#This Row],[Rating]]="Average",3,
IF(Combined_table[[#This Row],[Rating]]="Poor",2,
IF(Combined_table[[#This Row],[Rating]]="Very Poor",1,"")))))</f>
        <v>3</v>
      </c>
      <c r="L92" s="5"/>
    </row>
    <row r="93" spans="2:15" x14ac:dyDescent="0.3">
      <c r="B93" s="5" t="s">
        <v>26</v>
      </c>
      <c r="C93" s="5" t="s">
        <v>9</v>
      </c>
      <c r="D93" s="5">
        <v>33</v>
      </c>
      <c r="E93" s="5" t="s">
        <v>10</v>
      </c>
      <c r="F93" s="6">
        <v>44324</v>
      </c>
      <c r="G93" s="5" t="s">
        <v>23</v>
      </c>
      <c r="H93" s="28">
        <v>74550</v>
      </c>
      <c r="I93" s="5" t="s">
        <v>206</v>
      </c>
      <c r="J93" s="9">
        <f ca="1">(TODAY()-Combined_table[[#This Row],[Date Joined]])/365</f>
        <v>4.7287671232876711</v>
      </c>
      <c r="K93" s="5">
        <f>IF(Combined_table[[#This Row],[Rating]]="Exceptional",5,
IF(Combined_table[[#This Row],[Rating]]="Above Average",4,
IF(Combined_table[[#This Row],[Rating]]="Average",3,
IF(Combined_table[[#This Row],[Rating]]="Poor",2,
IF(Combined_table[[#This Row],[Rating]]="Very Poor",1,"")))))</f>
        <v>3</v>
      </c>
      <c r="L93" s="5"/>
    </row>
    <row r="94" spans="2:15" x14ac:dyDescent="0.3">
      <c r="B94" s="5" t="s">
        <v>200</v>
      </c>
      <c r="C94" s="5" t="s">
        <v>9</v>
      </c>
      <c r="D94" s="5">
        <v>33</v>
      </c>
      <c r="E94" s="5" t="s">
        <v>10</v>
      </c>
      <c r="F94" s="6">
        <v>44385</v>
      </c>
      <c r="G94" s="5" t="s">
        <v>23</v>
      </c>
      <c r="H94" s="28">
        <v>74550</v>
      </c>
      <c r="I94" s="5" t="s">
        <v>208</v>
      </c>
      <c r="J94" s="9">
        <f ca="1">(TODAY()-Combined_table[[#This Row],[Date Joined]])/365</f>
        <v>4.5616438356164384</v>
      </c>
      <c r="K94" s="5">
        <f>IF(Combined_table[[#This Row],[Rating]]="Exceptional",5,
IF(Combined_table[[#This Row],[Rating]]="Above Average",4,
IF(Combined_table[[#This Row],[Rating]]="Average",3,
IF(Combined_table[[#This Row],[Rating]]="Poor",2,
IF(Combined_table[[#This Row],[Rating]]="Very Poor",1,"")))))</f>
        <v>3</v>
      </c>
      <c r="L94" s="5"/>
    </row>
    <row r="95" spans="2:15" x14ac:dyDescent="0.3">
      <c r="B95" s="5" t="s">
        <v>41</v>
      </c>
      <c r="C95" s="5" t="s">
        <v>13</v>
      </c>
      <c r="D95" s="5">
        <v>42</v>
      </c>
      <c r="E95" s="5" t="s">
        <v>42</v>
      </c>
      <c r="F95" s="6">
        <v>44718</v>
      </c>
      <c r="G95" s="5" t="s">
        <v>16</v>
      </c>
      <c r="H95" s="28">
        <v>75000</v>
      </c>
      <c r="I95" s="5" t="s">
        <v>206</v>
      </c>
      <c r="J95" s="9">
        <f ca="1">(TODAY()-Combined_table[[#This Row],[Date Joined]])/365</f>
        <v>3.6493150684931508</v>
      </c>
      <c r="K95" s="5">
        <f>IF(Combined_table[[#This Row],[Rating]]="Exceptional",5,
IF(Combined_table[[#This Row],[Rating]]="Above Average",4,
IF(Combined_table[[#This Row],[Rating]]="Average",3,
IF(Combined_table[[#This Row],[Rating]]="Poor",2,
IF(Combined_table[[#This Row],[Rating]]="Very Poor",1,"")))))</f>
        <v>5</v>
      </c>
      <c r="L95" s="5"/>
    </row>
    <row r="96" spans="2:15" x14ac:dyDescent="0.3">
      <c r="B96" s="5" t="s">
        <v>138</v>
      </c>
      <c r="C96" s="5" t="s">
        <v>13</v>
      </c>
      <c r="D96" s="5">
        <v>42</v>
      </c>
      <c r="E96" s="5" t="s">
        <v>42</v>
      </c>
      <c r="F96" s="6">
        <v>44779</v>
      </c>
      <c r="G96" s="5" t="s">
        <v>16</v>
      </c>
      <c r="H96" s="28">
        <v>75000</v>
      </c>
      <c r="I96" s="5" t="s">
        <v>208</v>
      </c>
      <c r="J96" s="9">
        <f ca="1">(TODAY()-Combined_table[[#This Row],[Date Joined]])/365</f>
        <v>3.4821917808219176</v>
      </c>
      <c r="K96" s="5">
        <f>IF(Combined_table[[#This Row],[Rating]]="Exceptional",5,
IF(Combined_table[[#This Row],[Rating]]="Above Average",4,
IF(Combined_table[[#This Row],[Rating]]="Average",3,
IF(Combined_table[[#This Row],[Rating]]="Poor",2,
IF(Combined_table[[#This Row],[Rating]]="Very Poor",1,"")))))</f>
        <v>5</v>
      </c>
      <c r="L96" s="5"/>
    </row>
    <row r="97" spans="2:12" x14ac:dyDescent="0.3">
      <c r="B97" s="5" t="s">
        <v>63</v>
      </c>
      <c r="C97" s="5" t="s">
        <v>13</v>
      </c>
      <c r="D97" s="5">
        <v>33</v>
      </c>
      <c r="E97" s="5" t="s">
        <v>10</v>
      </c>
      <c r="F97" s="6">
        <v>44253</v>
      </c>
      <c r="G97" s="5" t="s">
        <v>11</v>
      </c>
      <c r="H97" s="28">
        <v>75280</v>
      </c>
      <c r="I97" s="5" t="s">
        <v>206</v>
      </c>
      <c r="J97" s="9">
        <f ca="1">(TODAY()-Combined_table[[#This Row],[Date Joined]])/365</f>
        <v>4.9232876712328766</v>
      </c>
      <c r="K97" s="5">
        <f>IF(Combined_table[[#This Row],[Rating]]="Exceptional",5,
IF(Combined_table[[#This Row],[Rating]]="Above Average",4,
IF(Combined_table[[#This Row],[Rating]]="Average",3,
IF(Combined_table[[#This Row],[Rating]]="Poor",2,
IF(Combined_table[[#This Row],[Rating]]="Very Poor",1,"")))))</f>
        <v>3</v>
      </c>
      <c r="L97" s="5"/>
    </row>
    <row r="98" spans="2:12" x14ac:dyDescent="0.3">
      <c r="B98" s="5" t="s">
        <v>199</v>
      </c>
      <c r="C98" s="5" t="s">
        <v>13</v>
      </c>
      <c r="D98" s="5">
        <v>33</v>
      </c>
      <c r="E98" s="5" t="s">
        <v>10</v>
      </c>
      <c r="F98" s="6">
        <v>44312</v>
      </c>
      <c r="G98" s="5" t="s">
        <v>11</v>
      </c>
      <c r="H98" s="28">
        <v>75280</v>
      </c>
      <c r="I98" s="5" t="s">
        <v>208</v>
      </c>
      <c r="J98" s="9">
        <f ca="1">(TODAY()-Combined_table[[#This Row],[Date Joined]])/365</f>
        <v>4.7616438356164386</v>
      </c>
      <c r="K98" s="5">
        <f>IF(Combined_table[[#This Row],[Rating]]="Exceptional",5,
IF(Combined_table[[#This Row],[Rating]]="Above Average",4,
IF(Combined_table[[#This Row],[Rating]]="Average",3,
IF(Combined_table[[#This Row],[Rating]]="Poor",2,
IF(Combined_table[[#This Row],[Rating]]="Very Poor",1,"")))))</f>
        <v>3</v>
      </c>
      <c r="L98" s="5"/>
    </row>
    <row r="99" spans="2:12" x14ac:dyDescent="0.3">
      <c r="B99" s="5" t="s">
        <v>104</v>
      </c>
      <c r="C99" s="5" t="s">
        <v>13</v>
      </c>
      <c r="D99" s="5">
        <v>33</v>
      </c>
      <c r="E99" s="5" t="s">
        <v>82</v>
      </c>
      <c r="F99" s="6">
        <v>44313</v>
      </c>
      <c r="G99" s="5" t="s">
        <v>11</v>
      </c>
      <c r="H99" s="28">
        <v>75480</v>
      </c>
      <c r="I99" s="5" t="s">
        <v>206</v>
      </c>
      <c r="J99" s="9">
        <f ca="1">(TODAY()-Combined_table[[#This Row],[Date Joined]])/365</f>
        <v>4.7589041095890412</v>
      </c>
      <c r="K99" s="5">
        <f>IF(Combined_table[[#This Row],[Rating]]="Exceptional",5,
IF(Combined_table[[#This Row],[Rating]]="Above Average",4,
IF(Combined_table[[#This Row],[Rating]]="Average",3,
IF(Combined_table[[#This Row],[Rating]]="Poor",2,
IF(Combined_table[[#This Row],[Rating]]="Very Poor",1,"")))))</f>
        <v>1</v>
      </c>
      <c r="L99" s="5"/>
    </row>
    <row r="100" spans="2:12" x14ac:dyDescent="0.3">
      <c r="B100" s="5" t="s">
        <v>143</v>
      </c>
      <c r="C100" s="5" t="s">
        <v>13</v>
      </c>
      <c r="D100" s="5">
        <v>33</v>
      </c>
      <c r="E100" s="5" t="s">
        <v>82</v>
      </c>
      <c r="F100" s="6">
        <v>44374</v>
      </c>
      <c r="G100" s="5" t="s">
        <v>11</v>
      </c>
      <c r="H100" s="28">
        <v>75480</v>
      </c>
      <c r="I100" s="5" t="s">
        <v>208</v>
      </c>
      <c r="J100" s="9">
        <f ca="1">(TODAY()-Combined_table[[#This Row],[Date Joined]])/365</f>
        <v>4.5917808219178085</v>
      </c>
      <c r="K100" s="5">
        <f>IF(Combined_table[[#This Row],[Rating]]="Exceptional",5,
IF(Combined_table[[#This Row],[Rating]]="Above Average",4,
IF(Combined_table[[#This Row],[Rating]]="Average",3,
IF(Combined_table[[#This Row],[Rating]]="Poor",2,
IF(Combined_table[[#This Row],[Rating]]="Very Poor",1,"")))))</f>
        <v>1</v>
      </c>
      <c r="L100" s="5"/>
    </row>
    <row r="101" spans="2:12" x14ac:dyDescent="0.3">
      <c r="B101" s="5" t="s">
        <v>59</v>
      </c>
      <c r="C101" s="5" t="s">
        <v>9</v>
      </c>
      <c r="D101" s="5">
        <v>21</v>
      </c>
      <c r="E101" s="5" t="s">
        <v>10</v>
      </c>
      <c r="F101" s="6">
        <v>44180</v>
      </c>
      <c r="G101" s="5" t="s">
        <v>18</v>
      </c>
      <c r="H101" s="28">
        <v>75880</v>
      </c>
      <c r="I101" s="5" t="s">
        <v>206</v>
      </c>
      <c r="J101" s="9">
        <f ca="1">(TODAY()-Combined_table[[#This Row],[Date Joined]])/365</f>
        <v>5.1232876712328768</v>
      </c>
      <c r="K101" s="5">
        <f>IF(Combined_table[[#This Row],[Rating]]="Exceptional",5,
IF(Combined_table[[#This Row],[Rating]]="Above Average",4,
IF(Combined_table[[#This Row],[Rating]]="Average",3,
IF(Combined_table[[#This Row],[Rating]]="Poor",2,
IF(Combined_table[[#This Row],[Rating]]="Very Poor",1,"")))))</f>
        <v>3</v>
      </c>
      <c r="L101" s="5"/>
    </row>
    <row r="102" spans="2:12" x14ac:dyDescent="0.3">
      <c r="B102" s="5" t="s">
        <v>132</v>
      </c>
      <c r="C102" s="5" t="s">
        <v>9</v>
      </c>
      <c r="D102" s="5">
        <v>21</v>
      </c>
      <c r="E102" s="5" t="s">
        <v>10</v>
      </c>
      <c r="F102" s="6">
        <v>44242</v>
      </c>
      <c r="G102" s="5" t="s">
        <v>18</v>
      </c>
      <c r="H102" s="28">
        <v>75880</v>
      </c>
      <c r="I102" s="5" t="s">
        <v>208</v>
      </c>
      <c r="J102" s="9">
        <f ca="1">(TODAY()-Combined_table[[#This Row],[Date Joined]])/365</f>
        <v>4.9534246575342467</v>
      </c>
      <c r="K102" s="5">
        <f>IF(Combined_table[[#This Row],[Rating]]="Exceptional",5,
IF(Combined_table[[#This Row],[Rating]]="Above Average",4,
IF(Combined_table[[#This Row],[Rating]]="Average",3,
IF(Combined_table[[#This Row],[Rating]]="Poor",2,
IF(Combined_table[[#This Row],[Rating]]="Very Poor",1,"")))))</f>
        <v>3</v>
      </c>
      <c r="L102" s="5"/>
    </row>
    <row r="103" spans="2:12" x14ac:dyDescent="0.3">
      <c r="B103" s="5" t="s">
        <v>69</v>
      </c>
      <c r="C103" s="5" t="s">
        <v>13</v>
      </c>
      <c r="D103" s="5">
        <v>28</v>
      </c>
      <c r="E103" s="5" t="s">
        <v>10</v>
      </c>
      <c r="F103" s="6">
        <v>44124</v>
      </c>
      <c r="G103" s="5" t="s">
        <v>21</v>
      </c>
      <c r="H103" s="28">
        <v>75970</v>
      </c>
      <c r="I103" s="5" t="s">
        <v>206</v>
      </c>
      <c r="J103" s="9">
        <f ca="1">(TODAY()-Combined_table[[#This Row],[Date Joined]])/365</f>
        <v>5.2767123287671236</v>
      </c>
      <c r="K103" s="5">
        <f>IF(Combined_table[[#This Row],[Rating]]="Exceptional",5,
IF(Combined_table[[#This Row],[Rating]]="Above Average",4,
IF(Combined_table[[#This Row],[Rating]]="Average",3,
IF(Combined_table[[#This Row],[Rating]]="Poor",2,
IF(Combined_table[[#This Row],[Rating]]="Very Poor",1,"")))))</f>
        <v>3</v>
      </c>
      <c r="L103" s="5"/>
    </row>
    <row r="104" spans="2:12" x14ac:dyDescent="0.3">
      <c r="B104" s="5" t="s">
        <v>141</v>
      </c>
      <c r="C104" s="5" t="s">
        <v>13</v>
      </c>
      <c r="D104" s="5">
        <v>28</v>
      </c>
      <c r="E104" s="5" t="s">
        <v>10</v>
      </c>
      <c r="F104" s="6">
        <v>44185</v>
      </c>
      <c r="G104" s="5" t="s">
        <v>21</v>
      </c>
      <c r="H104" s="28">
        <v>75970</v>
      </c>
      <c r="I104" s="5" t="s">
        <v>208</v>
      </c>
      <c r="J104" s="9">
        <f ca="1">(TODAY()-Combined_table[[#This Row],[Date Joined]])/365</f>
        <v>5.1095890410958908</v>
      </c>
      <c r="K104" s="5">
        <f>IF(Combined_table[[#This Row],[Rating]]="Exceptional",5,
IF(Combined_table[[#This Row],[Rating]]="Above Average",4,
IF(Combined_table[[#This Row],[Rating]]="Average",3,
IF(Combined_table[[#This Row],[Rating]]="Poor",2,
IF(Combined_table[[#This Row],[Rating]]="Very Poor",1,"")))))</f>
        <v>3</v>
      </c>
      <c r="L104" s="5"/>
    </row>
    <row r="105" spans="2:12" x14ac:dyDescent="0.3">
      <c r="B105" s="5" t="s">
        <v>37</v>
      </c>
      <c r="C105" s="5" t="s">
        <v>13</v>
      </c>
      <c r="D105" s="5">
        <v>22</v>
      </c>
      <c r="E105" s="5" t="s">
        <v>14</v>
      </c>
      <c r="F105" s="6">
        <v>44388</v>
      </c>
      <c r="G105" s="5" t="s">
        <v>16</v>
      </c>
      <c r="H105" s="28">
        <v>76900</v>
      </c>
      <c r="I105" s="5" t="s">
        <v>206</v>
      </c>
      <c r="J105" s="9">
        <f ca="1">(TODAY()-Combined_table[[#This Row],[Date Joined]])/365</f>
        <v>4.5534246575342463</v>
      </c>
      <c r="K105" s="5">
        <f>IF(Combined_table[[#This Row],[Rating]]="Exceptional",5,
IF(Combined_table[[#This Row],[Rating]]="Above Average",4,
IF(Combined_table[[#This Row],[Rating]]="Average",3,
IF(Combined_table[[#This Row],[Rating]]="Poor",2,
IF(Combined_table[[#This Row],[Rating]]="Very Poor",1,"")))))</f>
        <v>4</v>
      </c>
      <c r="L105" s="5"/>
    </row>
    <row r="106" spans="2:12" x14ac:dyDescent="0.3">
      <c r="B106" s="5" t="s">
        <v>172</v>
      </c>
      <c r="C106" s="5" t="s">
        <v>13</v>
      </c>
      <c r="D106" s="5">
        <v>22</v>
      </c>
      <c r="E106" s="5" t="s">
        <v>14</v>
      </c>
      <c r="F106" s="6">
        <v>44450</v>
      </c>
      <c r="G106" s="5" t="s">
        <v>16</v>
      </c>
      <c r="H106" s="28">
        <v>76900</v>
      </c>
      <c r="I106" s="5" t="s">
        <v>208</v>
      </c>
      <c r="J106" s="9">
        <f ca="1">(TODAY()-Combined_table[[#This Row],[Date Joined]])/365</f>
        <v>4.3835616438356162</v>
      </c>
      <c r="K106" s="5">
        <f>IF(Combined_table[[#This Row],[Rating]]="Exceptional",5,
IF(Combined_table[[#This Row],[Rating]]="Above Average",4,
IF(Combined_table[[#This Row],[Rating]]="Average",3,
IF(Combined_table[[#This Row],[Rating]]="Poor",2,
IF(Combined_table[[#This Row],[Rating]]="Very Poor",1,"")))))</f>
        <v>4</v>
      </c>
      <c r="L106" s="5"/>
    </row>
    <row r="107" spans="2:12" x14ac:dyDescent="0.3">
      <c r="B107" s="5" t="s">
        <v>96</v>
      </c>
      <c r="C107" s="5" t="s">
        <v>13</v>
      </c>
      <c r="D107" s="5">
        <v>36</v>
      </c>
      <c r="E107" s="5" t="s">
        <v>10</v>
      </c>
      <c r="F107" s="6">
        <v>44468</v>
      </c>
      <c r="G107" s="5" t="s">
        <v>16</v>
      </c>
      <c r="H107" s="28">
        <v>78390</v>
      </c>
      <c r="I107" s="5" t="s">
        <v>206</v>
      </c>
      <c r="J107" s="9">
        <f ca="1">(TODAY()-Combined_table[[#This Row],[Date Joined]])/365</f>
        <v>4.3342465753424655</v>
      </c>
      <c r="K107" s="5">
        <f>IF(Combined_table[[#This Row],[Rating]]="Exceptional",5,
IF(Combined_table[[#This Row],[Rating]]="Above Average",4,
IF(Combined_table[[#This Row],[Rating]]="Average",3,
IF(Combined_table[[#This Row],[Rating]]="Poor",2,
IF(Combined_table[[#This Row],[Rating]]="Very Poor",1,"")))))</f>
        <v>3</v>
      </c>
      <c r="L107" s="5"/>
    </row>
    <row r="108" spans="2:12" x14ac:dyDescent="0.3">
      <c r="B108" s="5" t="s">
        <v>153</v>
      </c>
      <c r="C108" s="5" t="s">
        <v>13</v>
      </c>
      <c r="D108" s="5">
        <v>36</v>
      </c>
      <c r="E108" s="5" t="s">
        <v>10</v>
      </c>
      <c r="F108" s="6">
        <v>44529</v>
      </c>
      <c r="G108" s="5" t="s">
        <v>16</v>
      </c>
      <c r="H108" s="28">
        <v>78390</v>
      </c>
      <c r="I108" s="5" t="s">
        <v>208</v>
      </c>
      <c r="J108" s="9">
        <f ca="1">(TODAY()-Combined_table[[#This Row],[Date Joined]])/365</f>
        <v>4.1671232876712327</v>
      </c>
      <c r="K108" s="5">
        <f>IF(Combined_table[[#This Row],[Rating]]="Exceptional",5,
IF(Combined_table[[#This Row],[Rating]]="Above Average",4,
IF(Combined_table[[#This Row],[Rating]]="Average",3,
IF(Combined_table[[#This Row],[Rating]]="Poor",2,
IF(Combined_table[[#This Row],[Rating]]="Very Poor",1,"")))))</f>
        <v>3</v>
      </c>
      <c r="L108" s="5"/>
    </row>
    <row r="109" spans="2:12" x14ac:dyDescent="0.3">
      <c r="B109" s="5" t="s">
        <v>106</v>
      </c>
      <c r="C109" s="5" t="s">
        <v>13</v>
      </c>
      <c r="D109" s="5">
        <v>36</v>
      </c>
      <c r="E109" s="5" t="s">
        <v>10</v>
      </c>
      <c r="F109" s="6">
        <v>44433</v>
      </c>
      <c r="G109" s="5" t="s">
        <v>23</v>
      </c>
      <c r="H109" s="28">
        <v>78540</v>
      </c>
      <c r="I109" s="5" t="s">
        <v>206</v>
      </c>
      <c r="J109" s="9">
        <f ca="1">(TODAY()-Combined_table[[#This Row],[Date Joined]])/365</f>
        <v>4.4301369863013695</v>
      </c>
      <c r="K109" s="5">
        <f>IF(Combined_table[[#This Row],[Rating]]="Exceptional",5,
IF(Combined_table[[#This Row],[Rating]]="Above Average",4,
IF(Combined_table[[#This Row],[Rating]]="Average",3,
IF(Combined_table[[#This Row],[Rating]]="Poor",2,
IF(Combined_table[[#This Row],[Rating]]="Very Poor",1,"")))))</f>
        <v>3</v>
      </c>
      <c r="L109" s="5"/>
    </row>
    <row r="110" spans="2:12" x14ac:dyDescent="0.3">
      <c r="B110" s="5" t="s">
        <v>145</v>
      </c>
      <c r="C110" s="5" t="s">
        <v>13</v>
      </c>
      <c r="D110" s="5">
        <v>36</v>
      </c>
      <c r="E110" s="5" t="s">
        <v>10</v>
      </c>
      <c r="F110" s="6">
        <v>44494</v>
      </c>
      <c r="G110" s="5" t="s">
        <v>23</v>
      </c>
      <c r="H110" s="28">
        <v>78540</v>
      </c>
      <c r="I110" s="5" t="s">
        <v>208</v>
      </c>
      <c r="J110" s="9">
        <f ca="1">(TODAY()-Combined_table[[#This Row],[Date Joined]])/365</f>
        <v>4.2630136986301368</v>
      </c>
      <c r="K110" s="5">
        <f>IF(Combined_table[[#This Row],[Rating]]="Exceptional",5,
IF(Combined_table[[#This Row],[Rating]]="Above Average",4,
IF(Combined_table[[#This Row],[Rating]]="Average",3,
IF(Combined_table[[#This Row],[Rating]]="Poor",2,
IF(Combined_table[[#This Row],[Rating]]="Very Poor",1,"")))))</f>
        <v>3</v>
      </c>
      <c r="L110" s="5"/>
    </row>
    <row r="111" spans="2:12" x14ac:dyDescent="0.3">
      <c r="B111" s="5" t="s">
        <v>36</v>
      </c>
      <c r="C111" s="5" t="s">
        <v>9</v>
      </c>
      <c r="D111" s="5">
        <v>20</v>
      </c>
      <c r="E111" s="5" t="s">
        <v>10</v>
      </c>
      <c r="F111" s="6">
        <v>44683</v>
      </c>
      <c r="G111" s="5" t="s">
        <v>16</v>
      </c>
      <c r="H111" s="28">
        <v>79570</v>
      </c>
      <c r="I111" s="5" t="s">
        <v>206</v>
      </c>
      <c r="J111" s="9">
        <f ca="1">(TODAY()-Combined_table[[#This Row],[Date Joined]])/365</f>
        <v>3.7452054794520548</v>
      </c>
      <c r="K111" s="5">
        <f>IF(Combined_table[[#This Row],[Rating]]="Exceptional",5,
IF(Combined_table[[#This Row],[Rating]]="Above Average",4,
IF(Combined_table[[#This Row],[Rating]]="Average",3,
IF(Combined_table[[#This Row],[Rating]]="Poor",2,
IF(Combined_table[[#This Row],[Rating]]="Very Poor",1,"")))))</f>
        <v>3</v>
      </c>
      <c r="L111" s="5"/>
    </row>
    <row r="112" spans="2:12" x14ac:dyDescent="0.3">
      <c r="B112" s="5" t="s">
        <v>158</v>
      </c>
      <c r="C112" s="5" t="s">
        <v>9</v>
      </c>
      <c r="D112" s="5">
        <v>20</v>
      </c>
      <c r="E112" s="5" t="s">
        <v>10</v>
      </c>
      <c r="F112" s="6">
        <v>44744</v>
      </c>
      <c r="G112" s="5" t="s">
        <v>16</v>
      </c>
      <c r="H112" s="28">
        <v>79570</v>
      </c>
      <c r="I112" s="5" t="s">
        <v>208</v>
      </c>
      <c r="J112" s="9">
        <f ca="1">(TODAY()-Combined_table[[#This Row],[Date Joined]])/365</f>
        <v>3.5780821917808221</v>
      </c>
      <c r="K112" s="5">
        <f>IF(Combined_table[[#This Row],[Rating]]="Exceptional",5,
IF(Combined_table[[#This Row],[Rating]]="Above Average",4,
IF(Combined_table[[#This Row],[Rating]]="Average",3,
IF(Combined_table[[#This Row],[Rating]]="Poor",2,
IF(Combined_table[[#This Row],[Rating]]="Very Poor",1,"")))))</f>
        <v>3</v>
      </c>
      <c r="L112" s="5"/>
    </row>
    <row r="113" spans="2:12" x14ac:dyDescent="0.3">
      <c r="B113" s="5" t="s">
        <v>52</v>
      </c>
      <c r="C113" s="5" t="s">
        <v>13</v>
      </c>
      <c r="D113" s="5">
        <v>25</v>
      </c>
      <c r="E113" s="5" t="s">
        <v>14</v>
      </c>
      <c r="F113" s="6">
        <v>44633</v>
      </c>
      <c r="G113" s="5" t="s">
        <v>11</v>
      </c>
      <c r="H113" s="28">
        <v>80700</v>
      </c>
      <c r="I113" s="5" t="s">
        <v>206</v>
      </c>
      <c r="J113" s="9">
        <f ca="1">(TODAY()-Combined_table[[#This Row],[Date Joined]])/365</f>
        <v>3.882191780821918</v>
      </c>
      <c r="K113" s="5">
        <f>IF(Combined_table[[#This Row],[Rating]]="Exceptional",5,
IF(Combined_table[[#This Row],[Rating]]="Above Average",4,
IF(Combined_table[[#This Row],[Rating]]="Average",3,
IF(Combined_table[[#This Row],[Rating]]="Poor",2,
IF(Combined_table[[#This Row],[Rating]]="Very Poor",1,"")))))</f>
        <v>4</v>
      </c>
      <c r="L113" s="5"/>
    </row>
    <row r="114" spans="2:12" x14ac:dyDescent="0.3">
      <c r="B114" s="5" t="s">
        <v>160</v>
      </c>
      <c r="C114" s="5" t="s">
        <v>13</v>
      </c>
      <c r="D114" s="5">
        <v>25</v>
      </c>
      <c r="E114" s="5" t="s">
        <v>14</v>
      </c>
      <c r="F114" s="6">
        <v>44694</v>
      </c>
      <c r="G114" s="5" t="s">
        <v>11</v>
      </c>
      <c r="H114" s="28">
        <v>80700</v>
      </c>
      <c r="I114" s="5" t="s">
        <v>208</v>
      </c>
      <c r="J114" s="9">
        <f ca="1">(TODAY()-Combined_table[[#This Row],[Date Joined]])/365</f>
        <v>3.7150684931506848</v>
      </c>
      <c r="K114" s="5">
        <f>IF(Combined_table[[#This Row],[Rating]]="Exceptional",5,
IF(Combined_table[[#This Row],[Rating]]="Above Average",4,
IF(Combined_table[[#This Row],[Rating]]="Average",3,
IF(Combined_table[[#This Row],[Rating]]="Poor",2,
IF(Combined_table[[#This Row],[Rating]]="Very Poor",1,"")))))</f>
        <v>4</v>
      </c>
      <c r="L114" s="5"/>
    </row>
    <row r="115" spans="2:12" x14ac:dyDescent="0.3">
      <c r="B115" s="5" t="s">
        <v>77</v>
      </c>
      <c r="C115" s="5" t="s">
        <v>13</v>
      </c>
      <c r="D115" s="5">
        <v>27</v>
      </c>
      <c r="E115" s="5" t="s">
        <v>10</v>
      </c>
      <c r="F115" s="6">
        <v>44625</v>
      </c>
      <c r="G115" s="5" t="s">
        <v>11</v>
      </c>
      <c r="H115" s="28">
        <v>83750</v>
      </c>
      <c r="I115" s="5" t="s">
        <v>206</v>
      </c>
      <c r="J115" s="9">
        <f ca="1">(TODAY()-Combined_table[[#This Row],[Date Joined]])/365</f>
        <v>3.904109589041096</v>
      </c>
      <c r="K115" s="5">
        <f>IF(Combined_table[[#This Row],[Rating]]="Exceptional",5,
IF(Combined_table[[#This Row],[Rating]]="Above Average",4,
IF(Combined_table[[#This Row],[Rating]]="Average",3,
IF(Combined_table[[#This Row],[Rating]]="Poor",2,
IF(Combined_table[[#This Row],[Rating]]="Very Poor",1,"")))))</f>
        <v>3</v>
      </c>
      <c r="L115" s="5"/>
    </row>
    <row r="116" spans="2:12" x14ac:dyDescent="0.3">
      <c r="B116" s="5" t="s">
        <v>155</v>
      </c>
      <c r="C116" s="5" t="s">
        <v>13</v>
      </c>
      <c r="D116" s="5">
        <v>27</v>
      </c>
      <c r="E116" s="5" t="s">
        <v>10</v>
      </c>
      <c r="F116" s="6">
        <v>44686</v>
      </c>
      <c r="G116" s="5" t="s">
        <v>11</v>
      </c>
      <c r="H116" s="28">
        <v>83750</v>
      </c>
      <c r="I116" s="5" t="s">
        <v>208</v>
      </c>
      <c r="J116" s="9">
        <f ca="1">(TODAY()-Combined_table[[#This Row],[Date Joined]])/365</f>
        <v>3.7369863013698632</v>
      </c>
      <c r="K116" s="5">
        <f>IF(Combined_table[[#This Row],[Rating]]="Exceptional",5,
IF(Combined_table[[#This Row],[Rating]]="Above Average",4,
IF(Combined_table[[#This Row],[Rating]]="Average",3,
IF(Combined_table[[#This Row],[Rating]]="Poor",2,
IF(Combined_table[[#This Row],[Rating]]="Very Poor",1,"")))))</f>
        <v>3</v>
      </c>
      <c r="L116" s="5"/>
    </row>
    <row r="117" spans="2:12" x14ac:dyDescent="0.3">
      <c r="B117" s="5" t="s">
        <v>61</v>
      </c>
      <c r="C117" s="5" t="s">
        <v>13</v>
      </c>
      <c r="D117" s="5">
        <v>34</v>
      </c>
      <c r="E117" s="5" t="s">
        <v>10</v>
      </c>
      <c r="F117" s="6">
        <v>44397</v>
      </c>
      <c r="G117" s="5" t="s">
        <v>21</v>
      </c>
      <c r="H117" s="28">
        <v>85000</v>
      </c>
      <c r="I117" s="5" t="s">
        <v>206</v>
      </c>
      <c r="J117" s="9">
        <f ca="1">(TODAY()-Combined_table[[#This Row],[Date Joined]])/365</f>
        <v>4.5287671232876709</v>
      </c>
      <c r="K117" s="5">
        <f>IF(Combined_table[[#This Row],[Rating]]="Exceptional",5,
IF(Combined_table[[#This Row],[Rating]]="Above Average",4,
IF(Combined_table[[#This Row],[Rating]]="Average",3,
IF(Combined_table[[#This Row],[Rating]]="Poor",2,
IF(Combined_table[[#This Row],[Rating]]="Very Poor",1,"")))))</f>
        <v>3</v>
      </c>
      <c r="L117" s="5"/>
    </row>
    <row r="118" spans="2:12" x14ac:dyDescent="0.3">
      <c r="B118" s="5" t="s">
        <v>194</v>
      </c>
      <c r="C118" s="5" t="s">
        <v>13</v>
      </c>
      <c r="D118" s="5">
        <v>34</v>
      </c>
      <c r="E118" s="5" t="s">
        <v>10</v>
      </c>
      <c r="F118" s="6">
        <v>44459</v>
      </c>
      <c r="G118" s="5" t="s">
        <v>21</v>
      </c>
      <c r="H118" s="28">
        <v>85000</v>
      </c>
      <c r="I118" s="5" t="s">
        <v>208</v>
      </c>
      <c r="J118" s="9">
        <f ca="1">(TODAY()-Combined_table[[#This Row],[Date Joined]])/365</f>
        <v>4.3589041095890408</v>
      </c>
      <c r="K118" s="5">
        <f>IF(Combined_table[[#This Row],[Rating]]="Exceptional",5,
IF(Combined_table[[#This Row],[Rating]]="Above Average",4,
IF(Combined_table[[#This Row],[Rating]]="Average",3,
IF(Combined_table[[#This Row],[Rating]]="Poor",2,
IF(Combined_table[[#This Row],[Rating]]="Very Poor",1,"")))))</f>
        <v>3</v>
      </c>
      <c r="L118" s="5"/>
    </row>
    <row r="119" spans="2:12" x14ac:dyDescent="0.3">
      <c r="B119" s="5" t="s">
        <v>88</v>
      </c>
      <c r="C119" s="5" t="s">
        <v>13</v>
      </c>
      <c r="D119" s="5">
        <v>33</v>
      </c>
      <c r="E119" s="5" t="s">
        <v>10</v>
      </c>
      <c r="F119" s="6">
        <v>44747</v>
      </c>
      <c r="G119" s="5" t="s">
        <v>21</v>
      </c>
      <c r="H119" s="28">
        <v>86570</v>
      </c>
      <c r="I119" s="5" t="s">
        <v>206</v>
      </c>
      <c r="J119" s="9">
        <f ca="1">(TODAY()-Combined_table[[#This Row],[Date Joined]])/365</f>
        <v>3.56986301369863</v>
      </c>
      <c r="K119" s="5">
        <f>IF(Combined_table[[#This Row],[Rating]]="Exceptional",5,
IF(Combined_table[[#This Row],[Rating]]="Above Average",4,
IF(Combined_table[[#This Row],[Rating]]="Average",3,
IF(Combined_table[[#This Row],[Rating]]="Poor",2,
IF(Combined_table[[#This Row],[Rating]]="Very Poor",1,"")))))</f>
        <v>3</v>
      </c>
      <c r="L119" s="5"/>
    </row>
    <row r="120" spans="2:12" x14ac:dyDescent="0.3">
      <c r="B120" s="5" t="s">
        <v>154</v>
      </c>
      <c r="C120" s="5" t="s">
        <v>13</v>
      </c>
      <c r="D120" s="5">
        <v>33</v>
      </c>
      <c r="E120" s="5" t="s">
        <v>10</v>
      </c>
      <c r="F120" s="6">
        <v>44809</v>
      </c>
      <c r="G120" s="5" t="s">
        <v>21</v>
      </c>
      <c r="H120" s="28">
        <v>86570</v>
      </c>
      <c r="I120" s="5" t="s">
        <v>208</v>
      </c>
      <c r="J120" s="9">
        <f ca="1">(TODAY()-Combined_table[[#This Row],[Date Joined]])/365</f>
        <v>3.4</v>
      </c>
      <c r="K120" s="5">
        <f>IF(Combined_table[[#This Row],[Rating]]="Exceptional",5,
IF(Combined_table[[#This Row],[Rating]]="Above Average",4,
IF(Combined_table[[#This Row],[Rating]]="Average",3,
IF(Combined_table[[#This Row],[Rating]]="Poor",2,
IF(Combined_table[[#This Row],[Rating]]="Very Poor",1,"")))))</f>
        <v>3</v>
      </c>
      <c r="L120" s="5"/>
    </row>
    <row r="121" spans="2:12" x14ac:dyDescent="0.3">
      <c r="B121" s="5" t="s">
        <v>78</v>
      </c>
      <c r="C121" s="5" t="s">
        <v>13</v>
      </c>
      <c r="D121" s="5">
        <v>40</v>
      </c>
      <c r="E121" s="5" t="s">
        <v>10</v>
      </c>
      <c r="F121" s="6">
        <v>44276</v>
      </c>
      <c r="G121" s="5" t="s">
        <v>11</v>
      </c>
      <c r="H121" s="28">
        <v>87620</v>
      </c>
      <c r="I121" s="5" t="s">
        <v>206</v>
      </c>
      <c r="J121" s="9">
        <f ca="1">(TODAY()-Combined_table[[#This Row],[Date Joined]])/365</f>
        <v>4.86027397260274</v>
      </c>
      <c r="K121" s="5">
        <f>IF(Combined_table[[#This Row],[Rating]]="Exceptional",5,
IF(Combined_table[[#This Row],[Rating]]="Above Average",4,
IF(Combined_table[[#This Row],[Rating]]="Average",3,
IF(Combined_table[[#This Row],[Rating]]="Poor",2,
IF(Combined_table[[#This Row],[Rating]]="Very Poor",1,"")))))</f>
        <v>3</v>
      </c>
      <c r="L121" s="5"/>
    </row>
    <row r="122" spans="2:12" x14ac:dyDescent="0.3">
      <c r="B122" s="5" t="s">
        <v>139</v>
      </c>
      <c r="C122" s="5" t="s">
        <v>13</v>
      </c>
      <c r="D122" s="5">
        <v>40</v>
      </c>
      <c r="E122" s="5" t="s">
        <v>10</v>
      </c>
      <c r="F122" s="6">
        <v>44337</v>
      </c>
      <c r="G122" s="5" t="s">
        <v>11</v>
      </c>
      <c r="H122" s="28">
        <v>87620</v>
      </c>
      <c r="I122" s="5" t="s">
        <v>208</v>
      </c>
      <c r="J122" s="9">
        <f ca="1">(TODAY()-Combined_table[[#This Row],[Date Joined]])/365</f>
        <v>4.6931506849315072</v>
      </c>
      <c r="K122" s="5">
        <f>IF(Combined_table[[#This Row],[Rating]]="Exceptional",5,
IF(Combined_table[[#This Row],[Rating]]="Above Average",4,
IF(Combined_table[[#This Row],[Rating]]="Average",3,
IF(Combined_table[[#This Row],[Rating]]="Poor",2,
IF(Combined_table[[#This Row],[Rating]]="Very Poor",1,"")))))</f>
        <v>3</v>
      </c>
      <c r="L122" s="5"/>
    </row>
    <row r="123" spans="2:12" x14ac:dyDescent="0.3">
      <c r="B123" s="5" t="s">
        <v>39</v>
      </c>
      <c r="C123" s="5" t="s">
        <v>9</v>
      </c>
      <c r="D123" s="5">
        <v>37</v>
      </c>
      <c r="E123" s="5" t="s">
        <v>20</v>
      </c>
      <c r="F123" s="6">
        <v>44277</v>
      </c>
      <c r="G123" s="5" t="s">
        <v>11</v>
      </c>
      <c r="H123" s="28">
        <v>88050</v>
      </c>
      <c r="I123" s="5" t="s">
        <v>206</v>
      </c>
      <c r="J123" s="9">
        <f ca="1">(TODAY()-Combined_table[[#This Row],[Date Joined]])/365</f>
        <v>4.8575342465753426</v>
      </c>
      <c r="K123" s="5">
        <f>IF(Combined_table[[#This Row],[Rating]]="Exceptional",5,
IF(Combined_table[[#This Row],[Rating]]="Above Average",4,
IF(Combined_table[[#This Row],[Rating]]="Average",3,
IF(Combined_table[[#This Row],[Rating]]="Poor",2,
IF(Combined_table[[#This Row],[Rating]]="Very Poor",1,"")))))</f>
        <v>2</v>
      </c>
      <c r="L123" s="5"/>
    </row>
    <row r="124" spans="2:12" x14ac:dyDescent="0.3">
      <c r="B124" s="5" t="s">
        <v>184</v>
      </c>
      <c r="C124" s="5" t="s">
        <v>9</v>
      </c>
      <c r="D124" s="5">
        <v>37</v>
      </c>
      <c r="E124" s="5" t="s">
        <v>20</v>
      </c>
      <c r="F124" s="6">
        <v>44338</v>
      </c>
      <c r="G124" s="5" t="s">
        <v>11</v>
      </c>
      <c r="H124" s="28">
        <v>88050</v>
      </c>
      <c r="I124" s="5" t="s">
        <v>208</v>
      </c>
      <c r="J124" s="9">
        <f ca="1">(TODAY()-Combined_table[[#This Row],[Date Joined]])/365</f>
        <v>4.6904109589041099</v>
      </c>
      <c r="K124" s="5">
        <f>IF(Combined_table[[#This Row],[Rating]]="Exceptional",5,
IF(Combined_table[[#This Row],[Rating]]="Above Average",4,
IF(Combined_table[[#This Row],[Rating]]="Average",3,
IF(Combined_table[[#This Row],[Rating]]="Poor",2,
IF(Combined_table[[#This Row],[Rating]]="Very Poor",1,"")))))</f>
        <v>2</v>
      </c>
      <c r="L124" s="5"/>
    </row>
    <row r="125" spans="2:12" x14ac:dyDescent="0.3">
      <c r="B125" s="5" t="s">
        <v>70</v>
      </c>
      <c r="C125" s="5" t="s">
        <v>207</v>
      </c>
      <c r="D125" s="5">
        <v>27</v>
      </c>
      <c r="E125" s="5" t="s">
        <v>14</v>
      </c>
      <c r="F125" s="6">
        <v>44212</v>
      </c>
      <c r="G125" s="5" t="s">
        <v>11</v>
      </c>
      <c r="H125" s="28">
        <v>90700</v>
      </c>
      <c r="I125" s="5" t="s">
        <v>206</v>
      </c>
      <c r="J125" s="9">
        <f ca="1">(TODAY()-Combined_table[[#This Row],[Date Joined]])/365</f>
        <v>5.0356164383561648</v>
      </c>
      <c r="K125" s="5">
        <f>IF(Combined_table[[#This Row],[Rating]]="Exceptional",5,
IF(Combined_table[[#This Row],[Rating]]="Above Average",4,
IF(Combined_table[[#This Row],[Rating]]="Average",3,
IF(Combined_table[[#This Row],[Rating]]="Poor",2,
IF(Combined_table[[#This Row],[Rating]]="Very Poor",1,"")))))</f>
        <v>4</v>
      </c>
      <c r="L125" s="5"/>
    </row>
    <row r="126" spans="2:12" x14ac:dyDescent="0.3">
      <c r="B126" s="5" t="s">
        <v>177</v>
      </c>
      <c r="C126" s="5" t="s">
        <v>207</v>
      </c>
      <c r="D126" s="5">
        <v>26</v>
      </c>
      <c r="E126" s="5" t="s">
        <v>14</v>
      </c>
      <c r="F126" s="6">
        <v>44271</v>
      </c>
      <c r="G126" s="5" t="s">
        <v>11</v>
      </c>
      <c r="H126" s="28">
        <v>90700</v>
      </c>
      <c r="I126" s="5" t="s">
        <v>208</v>
      </c>
      <c r="J126" s="9">
        <f ca="1">(TODAY()-Combined_table[[#This Row],[Date Joined]])/365</f>
        <v>4.8739726027397259</v>
      </c>
      <c r="K126" s="5">
        <f>IF(Combined_table[[#This Row],[Rating]]="Exceptional",5,
IF(Combined_table[[#This Row],[Rating]]="Above Average",4,
IF(Combined_table[[#This Row],[Rating]]="Average",3,
IF(Combined_table[[#This Row],[Rating]]="Poor",2,
IF(Combined_table[[#This Row],[Rating]]="Very Poor",1,"")))))</f>
        <v>4</v>
      </c>
      <c r="L126" s="5"/>
    </row>
    <row r="127" spans="2:12" x14ac:dyDescent="0.3">
      <c r="B127" s="5" t="s">
        <v>25</v>
      </c>
      <c r="C127" s="5" t="s">
        <v>207</v>
      </c>
      <c r="D127" s="5">
        <v>32</v>
      </c>
      <c r="E127" s="5" t="s">
        <v>10</v>
      </c>
      <c r="F127" s="6">
        <v>44713</v>
      </c>
      <c r="G127" s="5" t="s">
        <v>11</v>
      </c>
      <c r="H127" s="28">
        <v>91310</v>
      </c>
      <c r="I127" s="5" t="s">
        <v>206</v>
      </c>
      <c r="J127" s="9">
        <f ca="1">(TODAY()-Combined_table[[#This Row],[Date Joined]])/365</f>
        <v>3.6630136986301371</v>
      </c>
      <c r="K127" s="5">
        <f>IF(Combined_table[[#This Row],[Rating]]="Exceptional",5,
IF(Combined_table[[#This Row],[Rating]]="Above Average",4,
IF(Combined_table[[#This Row],[Rating]]="Average",3,
IF(Combined_table[[#This Row],[Rating]]="Poor",2,
IF(Combined_table[[#This Row],[Rating]]="Very Poor",1,"")))))</f>
        <v>3</v>
      </c>
      <c r="L127" s="5"/>
    </row>
    <row r="128" spans="2:12" x14ac:dyDescent="0.3">
      <c r="B128" s="5" t="s">
        <v>174</v>
      </c>
      <c r="C128" s="5" t="s">
        <v>207</v>
      </c>
      <c r="D128" s="5">
        <v>32</v>
      </c>
      <c r="E128" s="5" t="s">
        <v>10</v>
      </c>
      <c r="F128" s="6">
        <v>44774</v>
      </c>
      <c r="G128" s="5" t="s">
        <v>11</v>
      </c>
      <c r="H128" s="28">
        <v>91310</v>
      </c>
      <c r="I128" s="5" t="s">
        <v>208</v>
      </c>
      <c r="J128" s="9">
        <f ca="1">(TODAY()-Combined_table[[#This Row],[Date Joined]])/365</f>
        <v>3.495890410958904</v>
      </c>
      <c r="K128" s="5">
        <f>IF(Combined_table[[#This Row],[Rating]]="Exceptional",5,
IF(Combined_table[[#This Row],[Rating]]="Above Average",4,
IF(Combined_table[[#This Row],[Rating]]="Average",3,
IF(Combined_table[[#This Row],[Rating]]="Poor",2,
IF(Combined_table[[#This Row],[Rating]]="Very Poor",1,"")))))</f>
        <v>3</v>
      </c>
      <c r="L128" s="5"/>
    </row>
    <row r="129" spans="2:12" x14ac:dyDescent="0.3">
      <c r="B129" s="5" t="s">
        <v>67</v>
      </c>
      <c r="C129" s="5" t="s">
        <v>9</v>
      </c>
      <c r="D129" s="5">
        <v>27</v>
      </c>
      <c r="E129" s="5" t="s">
        <v>14</v>
      </c>
      <c r="F129" s="6">
        <v>44174</v>
      </c>
      <c r="G129" s="5" t="s">
        <v>21</v>
      </c>
      <c r="H129" s="28">
        <v>91650</v>
      </c>
      <c r="I129" s="5" t="s">
        <v>206</v>
      </c>
      <c r="J129" s="9">
        <f ca="1">(TODAY()-Combined_table[[#This Row],[Date Joined]])/365</f>
        <v>5.13972602739726</v>
      </c>
      <c r="K129" s="5">
        <f>IF(Combined_table[[#This Row],[Rating]]="Exceptional",5,
IF(Combined_table[[#This Row],[Rating]]="Above Average",4,
IF(Combined_table[[#This Row],[Rating]]="Average",3,
IF(Combined_table[[#This Row],[Rating]]="Poor",2,
IF(Combined_table[[#This Row],[Rating]]="Very Poor",1,"")))))</f>
        <v>4</v>
      </c>
      <c r="L129" s="5"/>
    </row>
    <row r="130" spans="2:12" x14ac:dyDescent="0.3">
      <c r="B130" s="5" t="s">
        <v>190</v>
      </c>
      <c r="C130" s="5" t="s">
        <v>9</v>
      </c>
      <c r="D130" s="5">
        <v>27</v>
      </c>
      <c r="E130" s="5" t="s">
        <v>14</v>
      </c>
      <c r="F130" s="6">
        <v>44236</v>
      </c>
      <c r="G130" s="5" t="s">
        <v>21</v>
      </c>
      <c r="H130" s="28">
        <v>91650</v>
      </c>
      <c r="I130" s="5" t="s">
        <v>208</v>
      </c>
      <c r="J130" s="9">
        <f ca="1">(TODAY()-Combined_table[[#This Row],[Date Joined]])/365</f>
        <v>4.9698630136986299</v>
      </c>
      <c r="K130" s="5">
        <f>IF(Combined_table[[#This Row],[Rating]]="Exceptional",5,
IF(Combined_table[[#This Row],[Rating]]="Above Average",4,
IF(Combined_table[[#This Row],[Rating]]="Average",3,
IF(Combined_table[[#This Row],[Rating]]="Poor",2,
IF(Combined_table[[#This Row],[Rating]]="Very Poor",1,"")))))</f>
        <v>4</v>
      </c>
      <c r="L130" s="5"/>
    </row>
    <row r="131" spans="2:12" x14ac:dyDescent="0.3">
      <c r="B131" s="5" t="s">
        <v>75</v>
      </c>
      <c r="C131" s="5" t="s">
        <v>13</v>
      </c>
      <c r="D131" s="5">
        <v>34</v>
      </c>
      <c r="E131" s="5" t="s">
        <v>10</v>
      </c>
      <c r="F131" s="6">
        <v>44383</v>
      </c>
      <c r="G131" s="5" t="s">
        <v>21</v>
      </c>
      <c r="H131" s="28">
        <v>92450</v>
      </c>
      <c r="I131" s="5" t="s">
        <v>206</v>
      </c>
      <c r="J131" s="9">
        <f ca="1">(TODAY()-Combined_table[[#This Row],[Date Joined]])/365</f>
        <v>4.5671232876712331</v>
      </c>
      <c r="K131" s="5">
        <f>IF(Combined_table[[#This Row],[Rating]]="Exceptional",5,
IF(Combined_table[[#This Row],[Rating]]="Above Average",4,
IF(Combined_table[[#This Row],[Rating]]="Average",3,
IF(Combined_table[[#This Row],[Rating]]="Poor",2,
IF(Combined_table[[#This Row],[Rating]]="Very Poor",1,"")))))</f>
        <v>3</v>
      </c>
      <c r="L131" s="5"/>
    </row>
    <row r="132" spans="2:12" x14ac:dyDescent="0.3">
      <c r="B132" s="5" t="s">
        <v>156</v>
      </c>
      <c r="C132" s="5" t="s">
        <v>13</v>
      </c>
      <c r="D132" s="5">
        <v>34</v>
      </c>
      <c r="E132" s="5" t="s">
        <v>10</v>
      </c>
      <c r="F132" s="6">
        <v>44445</v>
      </c>
      <c r="G132" s="5" t="s">
        <v>21</v>
      </c>
      <c r="H132" s="28">
        <v>92450</v>
      </c>
      <c r="I132" s="5" t="s">
        <v>208</v>
      </c>
      <c r="J132" s="9">
        <f ca="1">(TODAY()-Combined_table[[#This Row],[Date Joined]])/365</f>
        <v>4.397260273972603</v>
      </c>
      <c r="K132" s="5">
        <f>IF(Combined_table[[#This Row],[Rating]]="Exceptional",5,
IF(Combined_table[[#This Row],[Rating]]="Above Average",4,
IF(Combined_table[[#This Row],[Rating]]="Average",3,
IF(Combined_table[[#This Row],[Rating]]="Poor",2,
IF(Combined_table[[#This Row],[Rating]]="Very Poor",1,"")))))</f>
        <v>3</v>
      </c>
      <c r="L132" s="5"/>
    </row>
    <row r="133" spans="2:12" x14ac:dyDescent="0.3">
      <c r="B133" s="5" t="s">
        <v>24</v>
      </c>
      <c r="C133" s="5" t="s">
        <v>13</v>
      </c>
      <c r="D133" s="5">
        <v>25</v>
      </c>
      <c r="E133" s="5" t="s">
        <v>10</v>
      </c>
      <c r="F133" s="6">
        <v>44144</v>
      </c>
      <c r="G133" s="5" t="s">
        <v>23</v>
      </c>
      <c r="H133" s="28">
        <v>92700</v>
      </c>
      <c r="I133" s="5" t="s">
        <v>206</v>
      </c>
      <c r="J133" s="9">
        <f ca="1">(TODAY()-Combined_table[[#This Row],[Date Joined]])/365</f>
        <v>5.2219178082191782</v>
      </c>
      <c r="K133" s="5">
        <f>IF(Combined_table[[#This Row],[Rating]]="Exceptional",5,
IF(Combined_table[[#This Row],[Rating]]="Above Average",4,
IF(Combined_table[[#This Row],[Rating]]="Average",3,
IF(Combined_table[[#This Row],[Rating]]="Poor",2,
IF(Combined_table[[#This Row],[Rating]]="Very Poor",1,"")))))</f>
        <v>3</v>
      </c>
      <c r="L133" s="5"/>
    </row>
    <row r="134" spans="2:12" x14ac:dyDescent="0.3">
      <c r="B134" s="5" t="s">
        <v>179</v>
      </c>
      <c r="C134" s="5" t="s">
        <v>13</v>
      </c>
      <c r="D134" s="5">
        <v>25</v>
      </c>
      <c r="E134" s="5" t="s">
        <v>10</v>
      </c>
      <c r="F134" s="6">
        <v>44205</v>
      </c>
      <c r="G134" s="5" t="s">
        <v>23</v>
      </c>
      <c r="H134" s="28">
        <v>92700</v>
      </c>
      <c r="I134" s="5" t="s">
        <v>208</v>
      </c>
      <c r="J134" s="9">
        <f ca="1">(TODAY()-Combined_table[[#This Row],[Date Joined]])/365</f>
        <v>5.0547945205479454</v>
      </c>
      <c r="K134" s="5">
        <f>IF(Combined_table[[#This Row],[Rating]]="Exceptional",5,
IF(Combined_table[[#This Row],[Rating]]="Above Average",4,
IF(Combined_table[[#This Row],[Rating]]="Average",3,
IF(Combined_table[[#This Row],[Rating]]="Poor",2,
IF(Combined_table[[#This Row],[Rating]]="Very Poor",1,"")))))</f>
        <v>3</v>
      </c>
      <c r="L134" s="5"/>
    </row>
    <row r="135" spans="2:12" x14ac:dyDescent="0.3">
      <c r="B135" s="5" t="s">
        <v>111</v>
      </c>
      <c r="C135" s="5" t="s">
        <v>13</v>
      </c>
      <c r="D135" s="5">
        <v>33</v>
      </c>
      <c r="E135" s="5" t="s">
        <v>10</v>
      </c>
      <c r="F135" s="6">
        <v>44129</v>
      </c>
      <c r="G135" s="5" t="s">
        <v>11</v>
      </c>
      <c r="H135" s="28">
        <v>96140</v>
      </c>
      <c r="I135" s="5" t="s">
        <v>206</v>
      </c>
      <c r="J135" s="9">
        <f ca="1">(TODAY()-Combined_table[[#This Row],[Date Joined]])/365</f>
        <v>5.2630136986301368</v>
      </c>
      <c r="K135" s="5">
        <f>IF(Combined_table[[#This Row],[Rating]]="Exceptional",5,
IF(Combined_table[[#This Row],[Rating]]="Above Average",4,
IF(Combined_table[[#This Row],[Rating]]="Average",3,
IF(Combined_table[[#This Row],[Rating]]="Poor",2,
IF(Combined_table[[#This Row],[Rating]]="Very Poor",1,"")))))</f>
        <v>3</v>
      </c>
      <c r="L135" s="5"/>
    </row>
    <row r="136" spans="2:12" x14ac:dyDescent="0.3">
      <c r="B136" s="5" t="s">
        <v>149</v>
      </c>
      <c r="C136" s="5" t="s">
        <v>13</v>
      </c>
      <c r="D136" s="5">
        <v>33</v>
      </c>
      <c r="E136" s="5" t="s">
        <v>10</v>
      </c>
      <c r="F136" s="6">
        <v>44190</v>
      </c>
      <c r="G136" s="5" t="s">
        <v>11</v>
      </c>
      <c r="H136" s="28">
        <v>96140</v>
      </c>
      <c r="I136" s="5" t="s">
        <v>208</v>
      </c>
      <c r="J136" s="9">
        <f ca="1">(TODAY()-Combined_table[[#This Row],[Date Joined]])/365</f>
        <v>5.095890410958904</v>
      </c>
      <c r="K136" s="5">
        <f>IF(Combined_table[[#This Row],[Rating]]="Exceptional",5,
IF(Combined_table[[#This Row],[Rating]]="Above Average",4,
IF(Combined_table[[#This Row],[Rating]]="Average",3,
IF(Combined_table[[#This Row],[Rating]]="Poor",2,
IF(Combined_table[[#This Row],[Rating]]="Very Poor",1,"")))))</f>
        <v>3</v>
      </c>
      <c r="L136" s="5"/>
    </row>
    <row r="137" spans="2:12" x14ac:dyDescent="0.3">
      <c r="B137" s="5" t="s">
        <v>29</v>
      </c>
      <c r="C137" s="5" t="s">
        <v>9</v>
      </c>
      <c r="D137" s="5">
        <v>30</v>
      </c>
      <c r="E137" s="5" t="s">
        <v>10</v>
      </c>
      <c r="F137" s="6">
        <v>44544</v>
      </c>
      <c r="G137" s="5" t="s">
        <v>21</v>
      </c>
      <c r="H137" s="28">
        <v>96800</v>
      </c>
      <c r="I137" s="5" t="s">
        <v>206</v>
      </c>
      <c r="J137" s="9">
        <f ca="1">(TODAY()-Combined_table[[#This Row],[Date Joined]])/365</f>
        <v>4.1260273972602741</v>
      </c>
      <c r="K137" s="5">
        <f>IF(Combined_table[[#This Row],[Rating]]="Exceptional",5,
IF(Combined_table[[#This Row],[Rating]]="Above Average",4,
IF(Combined_table[[#This Row],[Rating]]="Average",3,
IF(Combined_table[[#This Row],[Rating]]="Poor",2,
IF(Combined_table[[#This Row],[Rating]]="Very Poor",1,"")))))</f>
        <v>3</v>
      </c>
      <c r="L137" s="5"/>
    </row>
    <row r="138" spans="2:12" x14ac:dyDescent="0.3">
      <c r="B138" s="5" t="s">
        <v>193</v>
      </c>
      <c r="C138" s="5" t="s">
        <v>9</v>
      </c>
      <c r="D138" s="5">
        <v>30</v>
      </c>
      <c r="E138" s="5" t="s">
        <v>10</v>
      </c>
      <c r="F138" s="6">
        <v>44606</v>
      </c>
      <c r="G138" s="5" t="s">
        <v>21</v>
      </c>
      <c r="H138" s="28">
        <v>96800</v>
      </c>
      <c r="I138" s="5" t="s">
        <v>208</v>
      </c>
      <c r="J138" s="9">
        <f ca="1">(TODAY()-Combined_table[[#This Row],[Date Joined]])/365</f>
        <v>3.956164383561644</v>
      </c>
      <c r="K138" s="5">
        <f>IF(Combined_table[[#This Row],[Rating]]="Exceptional",5,
IF(Combined_table[[#This Row],[Rating]]="Above Average",4,
IF(Combined_table[[#This Row],[Rating]]="Average",3,
IF(Combined_table[[#This Row],[Rating]]="Poor",2,
IF(Combined_table[[#This Row],[Rating]]="Very Poor",1,"")))))</f>
        <v>3</v>
      </c>
      <c r="L138" s="5"/>
    </row>
    <row r="139" spans="2:12" x14ac:dyDescent="0.3">
      <c r="B139" s="5" t="s">
        <v>84</v>
      </c>
      <c r="C139" s="5" t="s">
        <v>9</v>
      </c>
      <c r="D139" s="5">
        <v>40</v>
      </c>
      <c r="E139" s="5" t="s">
        <v>10</v>
      </c>
      <c r="F139" s="6">
        <v>44204</v>
      </c>
      <c r="G139" s="5" t="s">
        <v>16</v>
      </c>
      <c r="H139" s="28">
        <v>99750</v>
      </c>
      <c r="I139" s="5" t="s">
        <v>206</v>
      </c>
      <c r="J139" s="9">
        <f ca="1">(TODAY()-Combined_table[[#This Row],[Date Joined]])/365</f>
        <v>5.0575342465753428</v>
      </c>
      <c r="K139" s="5">
        <f>IF(Combined_table[[#This Row],[Rating]]="Exceptional",5,
IF(Combined_table[[#This Row],[Rating]]="Above Average",4,
IF(Combined_table[[#This Row],[Rating]]="Average",3,
IF(Combined_table[[#This Row],[Rating]]="Poor",2,
IF(Combined_table[[#This Row],[Rating]]="Very Poor",1,"")))))</f>
        <v>3</v>
      </c>
      <c r="L139" s="5"/>
    </row>
    <row r="140" spans="2:12" x14ac:dyDescent="0.3">
      <c r="B140" s="5" t="s">
        <v>128</v>
      </c>
      <c r="C140" s="5" t="s">
        <v>9</v>
      </c>
      <c r="D140" s="5">
        <v>40</v>
      </c>
      <c r="E140" s="5" t="s">
        <v>10</v>
      </c>
      <c r="F140" s="6">
        <v>44263</v>
      </c>
      <c r="G140" s="5" t="s">
        <v>16</v>
      </c>
      <c r="H140" s="28">
        <v>99750</v>
      </c>
      <c r="I140" s="5" t="s">
        <v>208</v>
      </c>
      <c r="J140" s="9">
        <f ca="1">(TODAY()-Combined_table[[#This Row],[Date Joined]])/365</f>
        <v>4.8958904109589039</v>
      </c>
      <c r="K140" s="5">
        <f>IF(Combined_table[[#This Row],[Rating]]="Exceptional",5,
IF(Combined_table[[#This Row],[Rating]]="Above Average",4,
IF(Combined_table[[#This Row],[Rating]]="Average",3,
IF(Combined_table[[#This Row],[Rating]]="Poor",2,
IF(Combined_table[[#This Row],[Rating]]="Very Poor",1,"")))))</f>
        <v>3</v>
      </c>
      <c r="L140" s="5"/>
    </row>
    <row r="141" spans="2:12" x14ac:dyDescent="0.3">
      <c r="B141" s="5" t="s">
        <v>51</v>
      </c>
      <c r="C141" s="5" t="s">
        <v>13</v>
      </c>
      <c r="D141" s="5">
        <v>28</v>
      </c>
      <c r="E141" s="5" t="s">
        <v>10</v>
      </c>
      <c r="F141" s="6">
        <v>44571</v>
      </c>
      <c r="G141" s="5" t="s">
        <v>16</v>
      </c>
      <c r="H141" s="28">
        <v>99970</v>
      </c>
      <c r="I141" s="5" t="s">
        <v>206</v>
      </c>
      <c r="J141" s="9">
        <f ca="1">(TODAY()-Combined_table[[#This Row],[Date Joined]])/365</f>
        <v>4.0520547945205481</v>
      </c>
      <c r="K141" s="5">
        <f>IF(Combined_table[[#This Row],[Rating]]="Exceptional",5,
IF(Combined_table[[#This Row],[Rating]]="Above Average",4,
IF(Combined_table[[#This Row],[Rating]]="Average",3,
IF(Combined_table[[#This Row],[Rating]]="Poor",2,
IF(Combined_table[[#This Row],[Rating]]="Very Poor",1,"")))))</f>
        <v>3</v>
      </c>
      <c r="L141" s="5"/>
    </row>
    <row r="142" spans="2:12" x14ac:dyDescent="0.3">
      <c r="B142" s="5" t="s">
        <v>148</v>
      </c>
      <c r="C142" s="5" t="s">
        <v>13</v>
      </c>
      <c r="D142" s="5">
        <v>28</v>
      </c>
      <c r="E142" s="5" t="s">
        <v>10</v>
      </c>
      <c r="F142" s="6">
        <v>44630</v>
      </c>
      <c r="G142" s="5" t="s">
        <v>16</v>
      </c>
      <c r="H142" s="28">
        <v>99970</v>
      </c>
      <c r="I142" s="5" t="s">
        <v>208</v>
      </c>
      <c r="J142" s="9">
        <f ca="1">(TODAY()-Combined_table[[#This Row],[Date Joined]])/365</f>
        <v>3.8904109589041096</v>
      </c>
      <c r="K142" s="5">
        <f>IF(Combined_table[[#This Row],[Rating]]="Exceptional",5,
IF(Combined_table[[#This Row],[Rating]]="Above Average",4,
IF(Combined_table[[#This Row],[Rating]]="Average",3,
IF(Combined_table[[#This Row],[Rating]]="Poor",2,
IF(Combined_table[[#This Row],[Rating]]="Very Poor",1,"")))))</f>
        <v>3</v>
      </c>
      <c r="L142" s="5"/>
    </row>
    <row r="143" spans="2:12" x14ac:dyDescent="0.3">
      <c r="B143" s="5" t="s">
        <v>44</v>
      </c>
      <c r="C143" s="5" t="s">
        <v>9</v>
      </c>
      <c r="D143" s="5">
        <v>24</v>
      </c>
      <c r="E143" s="5" t="s">
        <v>10</v>
      </c>
      <c r="F143" s="6">
        <v>44625</v>
      </c>
      <c r="G143" s="5" t="s">
        <v>11</v>
      </c>
      <c r="H143" s="28">
        <v>100420</v>
      </c>
      <c r="I143" s="5" t="s">
        <v>206</v>
      </c>
      <c r="J143" s="9">
        <f ca="1">(TODAY()-Combined_table[[#This Row],[Date Joined]])/365</f>
        <v>3.904109589041096</v>
      </c>
      <c r="K143" s="5">
        <f>IF(Combined_table[[#This Row],[Rating]]="Exceptional",5,
IF(Combined_table[[#This Row],[Rating]]="Above Average",4,
IF(Combined_table[[#This Row],[Rating]]="Average",3,
IF(Combined_table[[#This Row],[Rating]]="Poor",2,
IF(Combined_table[[#This Row],[Rating]]="Very Poor",1,"")))))</f>
        <v>3</v>
      </c>
      <c r="L143" s="5"/>
    </row>
    <row r="144" spans="2:12" x14ac:dyDescent="0.3">
      <c r="B144" s="5" t="s">
        <v>185</v>
      </c>
      <c r="C144" s="5" t="s">
        <v>9</v>
      </c>
      <c r="D144" s="5">
        <v>24</v>
      </c>
      <c r="E144" s="5" t="s">
        <v>10</v>
      </c>
      <c r="F144" s="6">
        <v>44686</v>
      </c>
      <c r="G144" s="5" t="s">
        <v>11</v>
      </c>
      <c r="H144" s="28">
        <v>100420</v>
      </c>
      <c r="I144" s="5" t="s">
        <v>208</v>
      </c>
      <c r="J144" s="9">
        <f ca="1">(TODAY()-Combined_table[[#This Row],[Date Joined]])/365</f>
        <v>3.7369863013698632</v>
      </c>
      <c r="K144" s="5">
        <f>IF(Combined_table[[#This Row],[Rating]]="Exceptional",5,
IF(Combined_table[[#This Row],[Rating]]="Above Average",4,
IF(Combined_table[[#This Row],[Rating]]="Average",3,
IF(Combined_table[[#This Row],[Rating]]="Poor",2,
IF(Combined_table[[#This Row],[Rating]]="Very Poor",1,"")))))</f>
        <v>3</v>
      </c>
      <c r="L144" s="5"/>
    </row>
    <row r="145" spans="2:12" x14ac:dyDescent="0.3">
      <c r="B145" s="5" t="s">
        <v>15</v>
      </c>
      <c r="C145" s="5" t="s">
        <v>9</v>
      </c>
      <c r="D145" s="5">
        <v>31</v>
      </c>
      <c r="E145" s="5" t="s">
        <v>10</v>
      </c>
      <c r="F145" s="6">
        <v>44663</v>
      </c>
      <c r="G145" s="5" t="s">
        <v>16</v>
      </c>
      <c r="H145" s="28">
        <v>103550</v>
      </c>
      <c r="I145" s="5" t="s">
        <v>206</v>
      </c>
      <c r="J145" s="9">
        <f ca="1">(TODAY()-Combined_table[[#This Row],[Date Joined]])/365</f>
        <v>3.8</v>
      </c>
      <c r="K145" s="5">
        <f>IF(Combined_table[[#This Row],[Rating]]="Exceptional",5,
IF(Combined_table[[#This Row],[Rating]]="Above Average",4,
IF(Combined_table[[#This Row],[Rating]]="Average",3,
IF(Combined_table[[#This Row],[Rating]]="Poor",2,
IF(Combined_table[[#This Row],[Rating]]="Very Poor",1,"")))))</f>
        <v>3</v>
      </c>
      <c r="L145" s="5"/>
    </row>
    <row r="146" spans="2:12" x14ac:dyDescent="0.3">
      <c r="B146" s="5" t="s">
        <v>150</v>
      </c>
      <c r="C146" s="5" t="s">
        <v>9</v>
      </c>
      <c r="D146" s="5">
        <v>31</v>
      </c>
      <c r="E146" s="5" t="s">
        <v>10</v>
      </c>
      <c r="F146" s="6">
        <v>44724</v>
      </c>
      <c r="G146" s="5" t="s">
        <v>16</v>
      </c>
      <c r="H146" s="28">
        <v>103550</v>
      </c>
      <c r="I146" s="5" t="s">
        <v>208</v>
      </c>
      <c r="J146" s="9">
        <f ca="1">(TODAY()-Combined_table[[#This Row],[Date Joined]])/365</f>
        <v>3.6328767123287671</v>
      </c>
      <c r="K146" s="5">
        <f>IF(Combined_table[[#This Row],[Rating]]="Exceptional",5,
IF(Combined_table[[#This Row],[Rating]]="Above Average",4,
IF(Combined_table[[#This Row],[Rating]]="Average",3,
IF(Combined_table[[#This Row],[Rating]]="Poor",2,
IF(Combined_table[[#This Row],[Rating]]="Very Poor",1,"")))))</f>
        <v>3</v>
      </c>
      <c r="L146" s="5"/>
    </row>
    <row r="147" spans="2:12" x14ac:dyDescent="0.3">
      <c r="B147" s="5" t="s">
        <v>98</v>
      </c>
      <c r="C147" s="5" t="s">
        <v>13</v>
      </c>
      <c r="D147" s="5">
        <v>28</v>
      </c>
      <c r="E147" s="5" t="s">
        <v>10</v>
      </c>
      <c r="F147" s="6">
        <v>44590</v>
      </c>
      <c r="G147" s="5" t="s">
        <v>16</v>
      </c>
      <c r="H147" s="28">
        <v>104120</v>
      </c>
      <c r="I147" s="5" t="s">
        <v>206</v>
      </c>
      <c r="J147" s="9">
        <f ca="1">(TODAY()-Combined_table[[#This Row],[Date Joined]])/365</f>
        <v>4</v>
      </c>
      <c r="K147" s="5">
        <f>IF(Combined_table[[#This Row],[Rating]]="Exceptional",5,
IF(Combined_table[[#This Row],[Rating]]="Above Average",4,
IF(Combined_table[[#This Row],[Rating]]="Average",3,
IF(Combined_table[[#This Row],[Rating]]="Poor",2,
IF(Combined_table[[#This Row],[Rating]]="Very Poor",1,"")))))</f>
        <v>3</v>
      </c>
      <c r="L147" s="5"/>
    </row>
    <row r="148" spans="2:12" x14ac:dyDescent="0.3">
      <c r="B148" s="5" t="s">
        <v>183</v>
      </c>
      <c r="C148" s="5" t="s">
        <v>13</v>
      </c>
      <c r="D148" s="5">
        <v>28</v>
      </c>
      <c r="E148" s="5" t="s">
        <v>10</v>
      </c>
      <c r="F148" s="6">
        <v>44649</v>
      </c>
      <c r="G148" s="5" t="s">
        <v>16</v>
      </c>
      <c r="H148" s="28">
        <v>104120</v>
      </c>
      <c r="I148" s="5" t="s">
        <v>208</v>
      </c>
      <c r="J148" s="9">
        <f ca="1">(TODAY()-Combined_table[[#This Row],[Date Joined]])/365</f>
        <v>3.8383561643835615</v>
      </c>
      <c r="K148" s="5">
        <f>IF(Combined_table[[#This Row],[Rating]]="Exceptional",5,
IF(Combined_table[[#This Row],[Rating]]="Above Average",4,
IF(Combined_table[[#This Row],[Rating]]="Average",3,
IF(Combined_table[[#This Row],[Rating]]="Poor",2,
IF(Combined_table[[#This Row],[Rating]]="Very Poor",1,"")))))</f>
        <v>3</v>
      </c>
      <c r="L148" s="5"/>
    </row>
    <row r="149" spans="2:12" x14ac:dyDescent="0.3">
      <c r="B149" s="5" t="s">
        <v>28</v>
      </c>
      <c r="C149" s="5" t="s">
        <v>13</v>
      </c>
      <c r="D149" s="5">
        <v>40</v>
      </c>
      <c r="E149" s="5" t="s">
        <v>10</v>
      </c>
      <c r="F149" s="6">
        <v>44320</v>
      </c>
      <c r="G149" s="5" t="s">
        <v>11</v>
      </c>
      <c r="H149" s="28">
        <v>104410</v>
      </c>
      <c r="I149" s="5" t="s">
        <v>206</v>
      </c>
      <c r="J149" s="9">
        <f ca="1">(TODAY()-Combined_table[[#This Row],[Date Joined]])/365</f>
        <v>4.7397260273972606</v>
      </c>
      <c r="K149" s="5">
        <f>IF(Combined_table[[#This Row],[Rating]]="Exceptional",5,
IF(Combined_table[[#This Row],[Rating]]="Above Average",4,
IF(Combined_table[[#This Row],[Rating]]="Average",3,
IF(Combined_table[[#This Row],[Rating]]="Poor",2,
IF(Combined_table[[#This Row],[Rating]]="Very Poor",1,"")))))</f>
        <v>3</v>
      </c>
      <c r="L149" s="5"/>
    </row>
    <row r="150" spans="2:12" x14ac:dyDescent="0.3">
      <c r="B150" s="5" t="s">
        <v>192</v>
      </c>
      <c r="C150" s="5" t="s">
        <v>13</v>
      </c>
      <c r="D150" s="5">
        <v>40</v>
      </c>
      <c r="E150" s="5" t="s">
        <v>10</v>
      </c>
      <c r="F150" s="6">
        <v>44381</v>
      </c>
      <c r="G150" s="5" t="s">
        <v>11</v>
      </c>
      <c r="H150" s="28">
        <v>104410</v>
      </c>
      <c r="I150" s="5" t="s">
        <v>208</v>
      </c>
      <c r="J150" s="9">
        <f ca="1">(TODAY()-Combined_table[[#This Row],[Date Joined]])/365</f>
        <v>4.5726027397260278</v>
      </c>
      <c r="K150" s="5">
        <f>IF(Combined_table[[#This Row],[Rating]]="Exceptional",5,
IF(Combined_table[[#This Row],[Rating]]="Above Average",4,
IF(Combined_table[[#This Row],[Rating]]="Average",3,
IF(Combined_table[[#This Row],[Rating]]="Poor",2,
IF(Combined_table[[#This Row],[Rating]]="Very Poor",1,"")))))</f>
        <v>3</v>
      </c>
      <c r="L150" s="5"/>
    </row>
    <row r="151" spans="2:12" x14ac:dyDescent="0.3">
      <c r="B151" s="5" t="s">
        <v>65</v>
      </c>
      <c r="C151" s="5" t="s">
        <v>13</v>
      </c>
      <c r="D151" s="5">
        <v>28</v>
      </c>
      <c r="E151" s="5" t="s">
        <v>10</v>
      </c>
      <c r="F151" s="6">
        <v>44425</v>
      </c>
      <c r="G151" s="5" t="s">
        <v>16</v>
      </c>
      <c r="H151" s="28">
        <v>104770</v>
      </c>
      <c r="I151" s="5" t="s">
        <v>206</v>
      </c>
      <c r="J151" s="9">
        <f ca="1">(TODAY()-Combined_table[[#This Row],[Date Joined]])/365</f>
        <v>4.4520547945205475</v>
      </c>
      <c r="K151" s="5">
        <f>IF(Combined_table[[#This Row],[Rating]]="Exceptional",5,
IF(Combined_table[[#This Row],[Rating]]="Above Average",4,
IF(Combined_table[[#This Row],[Rating]]="Average",3,
IF(Combined_table[[#This Row],[Rating]]="Poor",2,
IF(Combined_table[[#This Row],[Rating]]="Very Poor",1,"")))))</f>
        <v>3</v>
      </c>
      <c r="L151" s="5"/>
    </row>
    <row r="152" spans="2:12" x14ac:dyDescent="0.3">
      <c r="B152" s="5" t="s">
        <v>175</v>
      </c>
      <c r="C152" s="5" t="s">
        <v>13</v>
      </c>
      <c r="D152" s="5">
        <v>28</v>
      </c>
      <c r="E152" s="5" t="s">
        <v>10</v>
      </c>
      <c r="F152" s="6">
        <v>44486</v>
      </c>
      <c r="G152" s="5" t="s">
        <v>16</v>
      </c>
      <c r="H152" s="28">
        <v>104770</v>
      </c>
      <c r="I152" s="5" t="s">
        <v>208</v>
      </c>
      <c r="J152" s="9">
        <f ca="1">(TODAY()-Combined_table[[#This Row],[Date Joined]])/365</f>
        <v>4.2849315068493148</v>
      </c>
      <c r="K152" s="5">
        <f>IF(Combined_table[[#This Row],[Rating]]="Exceptional",5,
IF(Combined_table[[#This Row],[Rating]]="Above Average",4,
IF(Combined_table[[#This Row],[Rating]]="Average",3,
IF(Combined_table[[#This Row],[Rating]]="Poor",2,
IF(Combined_table[[#This Row],[Rating]]="Very Poor",1,"")))))</f>
        <v>3</v>
      </c>
      <c r="L152" s="5"/>
    </row>
    <row r="153" spans="2:12" x14ac:dyDescent="0.3">
      <c r="B153" s="5" t="s">
        <v>94</v>
      </c>
      <c r="C153" s="5" t="s">
        <v>9</v>
      </c>
      <c r="D153" s="5">
        <v>23</v>
      </c>
      <c r="E153" s="5" t="s">
        <v>10</v>
      </c>
      <c r="F153" s="6">
        <v>44378</v>
      </c>
      <c r="G153" s="5" t="s">
        <v>16</v>
      </c>
      <c r="H153" s="28">
        <v>106460</v>
      </c>
      <c r="I153" s="5" t="s">
        <v>206</v>
      </c>
      <c r="J153" s="9">
        <f ca="1">(TODAY()-Combined_table[[#This Row],[Date Joined]])/365</f>
        <v>4.580821917808219</v>
      </c>
      <c r="K153" s="5">
        <f>IF(Combined_table[[#This Row],[Rating]]="Exceptional",5,
IF(Combined_table[[#This Row],[Rating]]="Above Average",4,
IF(Combined_table[[#This Row],[Rating]]="Average",3,
IF(Combined_table[[#This Row],[Rating]]="Poor",2,
IF(Combined_table[[#This Row],[Rating]]="Very Poor",1,"")))))</f>
        <v>3</v>
      </c>
      <c r="L153" s="5"/>
    </row>
    <row r="154" spans="2:12" x14ac:dyDescent="0.3">
      <c r="B154" s="5" t="s">
        <v>188</v>
      </c>
      <c r="C154" s="5" t="s">
        <v>9</v>
      </c>
      <c r="D154" s="5">
        <v>23</v>
      </c>
      <c r="E154" s="5" t="s">
        <v>10</v>
      </c>
      <c r="F154" s="6">
        <v>44440</v>
      </c>
      <c r="G154" s="5" t="s">
        <v>16</v>
      </c>
      <c r="H154" s="28">
        <v>106460</v>
      </c>
      <c r="I154" s="5" t="s">
        <v>208</v>
      </c>
      <c r="J154" s="9">
        <f ca="1">(TODAY()-Combined_table[[#This Row],[Date Joined]])/365</f>
        <v>4.4109589041095889</v>
      </c>
      <c r="K154" s="5">
        <f>IF(Combined_table[[#This Row],[Rating]]="Exceptional",5,
IF(Combined_table[[#This Row],[Rating]]="Above Average",4,
IF(Combined_table[[#This Row],[Rating]]="Average",3,
IF(Combined_table[[#This Row],[Rating]]="Poor",2,
IF(Combined_table[[#This Row],[Rating]]="Very Poor",1,"")))))</f>
        <v>3</v>
      </c>
      <c r="L154" s="5"/>
    </row>
    <row r="155" spans="2:12" x14ac:dyDescent="0.3">
      <c r="B155" s="5" t="s">
        <v>102</v>
      </c>
      <c r="C155" s="5" t="s">
        <v>9</v>
      </c>
      <c r="D155" s="5">
        <v>20</v>
      </c>
      <c r="E155" s="5" t="s">
        <v>10</v>
      </c>
      <c r="F155" s="6">
        <v>44397</v>
      </c>
      <c r="G155" s="5" t="s">
        <v>11</v>
      </c>
      <c r="H155" s="28">
        <v>107700</v>
      </c>
      <c r="I155" s="5" t="s">
        <v>206</v>
      </c>
      <c r="J155" s="9">
        <f ca="1">(TODAY()-Combined_table[[#This Row],[Date Joined]])/365</f>
        <v>4.5287671232876709</v>
      </c>
      <c r="K155" s="5">
        <f>IF(Combined_table[[#This Row],[Rating]]="Exceptional",5,
IF(Combined_table[[#This Row],[Rating]]="Above Average",4,
IF(Combined_table[[#This Row],[Rating]]="Average",3,
IF(Combined_table[[#This Row],[Rating]]="Poor",2,
IF(Combined_table[[#This Row],[Rating]]="Very Poor",1,"")))))</f>
        <v>3</v>
      </c>
      <c r="L155" s="5"/>
    </row>
    <row r="156" spans="2:12" x14ac:dyDescent="0.3">
      <c r="B156" s="5" t="s">
        <v>126</v>
      </c>
      <c r="C156" s="5" t="s">
        <v>9</v>
      </c>
      <c r="D156" s="5">
        <v>20</v>
      </c>
      <c r="E156" s="5" t="s">
        <v>10</v>
      </c>
      <c r="F156" s="6">
        <v>44459</v>
      </c>
      <c r="G156" s="5" t="s">
        <v>11</v>
      </c>
      <c r="H156" s="28">
        <v>107700</v>
      </c>
      <c r="I156" s="5" t="s">
        <v>208</v>
      </c>
      <c r="J156" s="9">
        <f ca="1">(TODAY()-Combined_table[[#This Row],[Date Joined]])/365</f>
        <v>4.3589041095890408</v>
      </c>
      <c r="K156" s="5">
        <f>IF(Combined_table[[#This Row],[Rating]]="Exceptional",5,
IF(Combined_table[[#This Row],[Rating]]="Above Average",4,
IF(Combined_table[[#This Row],[Rating]]="Average",3,
IF(Combined_table[[#This Row],[Rating]]="Poor",2,
IF(Combined_table[[#This Row],[Rating]]="Very Poor",1,"")))))</f>
        <v>3</v>
      </c>
      <c r="L156" s="5"/>
    </row>
    <row r="157" spans="2:12" x14ac:dyDescent="0.3">
      <c r="B157" s="5" t="s">
        <v>83</v>
      </c>
      <c r="C157" s="5" t="s">
        <v>13</v>
      </c>
      <c r="D157" s="5">
        <v>38</v>
      </c>
      <c r="E157" s="5" t="s">
        <v>42</v>
      </c>
      <c r="F157" s="6">
        <v>44316</v>
      </c>
      <c r="G157" s="5" t="s">
        <v>23</v>
      </c>
      <c r="H157" s="28">
        <v>109160</v>
      </c>
      <c r="I157" s="5" t="s">
        <v>206</v>
      </c>
      <c r="J157" s="9">
        <f ca="1">(TODAY()-Combined_table[[#This Row],[Date Joined]])/365</f>
        <v>4.7506849315068491</v>
      </c>
      <c r="K157" s="5">
        <f>IF(Combined_table[[#This Row],[Rating]]="Exceptional",5,
IF(Combined_table[[#This Row],[Rating]]="Above Average",4,
IF(Combined_table[[#This Row],[Rating]]="Average",3,
IF(Combined_table[[#This Row],[Rating]]="Poor",2,
IF(Combined_table[[#This Row],[Rating]]="Very Poor",1,"")))))</f>
        <v>5</v>
      </c>
      <c r="L157" s="5"/>
    </row>
    <row r="158" spans="2:12" x14ac:dyDescent="0.3">
      <c r="B158" s="5" t="s">
        <v>168</v>
      </c>
      <c r="C158" s="5" t="s">
        <v>13</v>
      </c>
      <c r="D158" s="5">
        <v>38</v>
      </c>
      <c r="E158" s="5" t="s">
        <v>42</v>
      </c>
      <c r="F158" s="6">
        <v>44377</v>
      </c>
      <c r="G158" s="5" t="s">
        <v>23</v>
      </c>
      <c r="H158" s="28">
        <v>109160</v>
      </c>
      <c r="I158" s="5" t="s">
        <v>208</v>
      </c>
      <c r="J158" s="9">
        <f ca="1">(TODAY()-Combined_table[[#This Row],[Date Joined]])/365</f>
        <v>4.5835616438356164</v>
      </c>
      <c r="K158" s="5">
        <f>IF(Combined_table[[#This Row],[Rating]]="Exceptional",5,
IF(Combined_table[[#This Row],[Rating]]="Above Average",4,
IF(Combined_table[[#This Row],[Rating]]="Average",3,
IF(Combined_table[[#This Row],[Rating]]="Poor",2,
IF(Combined_table[[#This Row],[Rating]]="Very Poor",1,"")))))</f>
        <v>5</v>
      </c>
      <c r="L158" s="5"/>
    </row>
    <row r="159" spans="2:12" x14ac:dyDescent="0.3">
      <c r="B159" s="5" t="s">
        <v>27</v>
      </c>
      <c r="C159" s="5" t="s">
        <v>9</v>
      </c>
      <c r="D159" s="5">
        <v>25</v>
      </c>
      <c r="E159" s="5" t="s">
        <v>14</v>
      </c>
      <c r="F159" s="6">
        <v>44665</v>
      </c>
      <c r="G159" s="5" t="s">
        <v>16</v>
      </c>
      <c r="H159" s="28">
        <v>109190</v>
      </c>
      <c r="I159" s="5" t="s">
        <v>206</v>
      </c>
      <c r="J159" s="9">
        <f ca="1">(TODAY()-Combined_table[[#This Row],[Date Joined]])/365</f>
        <v>3.7945205479452055</v>
      </c>
      <c r="K159" s="5">
        <f>IF(Combined_table[[#This Row],[Rating]]="Exceptional",5,
IF(Combined_table[[#This Row],[Rating]]="Above Average",4,
IF(Combined_table[[#This Row],[Rating]]="Average",3,
IF(Combined_table[[#This Row],[Rating]]="Poor",2,
IF(Combined_table[[#This Row],[Rating]]="Very Poor",1,"")))))</f>
        <v>4</v>
      </c>
      <c r="L159" s="5"/>
    </row>
    <row r="160" spans="2:12" x14ac:dyDescent="0.3">
      <c r="B160" s="5" t="s">
        <v>146</v>
      </c>
      <c r="C160" s="5" t="s">
        <v>9</v>
      </c>
      <c r="D160" s="5">
        <v>25</v>
      </c>
      <c r="E160" s="5" t="s">
        <v>14</v>
      </c>
      <c r="F160" s="6">
        <v>44726</v>
      </c>
      <c r="G160" s="5" t="s">
        <v>16</v>
      </c>
      <c r="H160" s="28">
        <v>109190</v>
      </c>
      <c r="I160" s="5" t="s">
        <v>208</v>
      </c>
      <c r="J160" s="9">
        <f ca="1">(TODAY()-Combined_table[[#This Row],[Date Joined]])/365</f>
        <v>3.6273972602739728</v>
      </c>
      <c r="K160" s="5">
        <f>IF(Combined_table[[#This Row],[Rating]]="Exceptional",5,
IF(Combined_table[[#This Row],[Rating]]="Above Average",4,
IF(Combined_table[[#This Row],[Rating]]="Average",3,
IF(Combined_table[[#This Row],[Rating]]="Poor",2,
IF(Combined_table[[#This Row],[Rating]]="Very Poor",1,"")))))</f>
        <v>4</v>
      </c>
      <c r="L160" s="5"/>
    </row>
    <row r="161" spans="2:12" x14ac:dyDescent="0.3">
      <c r="B161" s="5" t="s">
        <v>54</v>
      </c>
      <c r="C161" s="5" t="s">
        <v>9</v>
      </c>
      <c r="D161" s="5">
        <v>29</v>
      </c>
      <c r="E161" s="5" t="s">
        <v>20</v>
      </c>
      <c r="F161" s="6">
        <v>44119</v>
      </c>
      <c r="G161" s="5" t="s">
        <v>11</v>
      </c>
      <c r="H161" s="28">
        <v>112110</v>
      </c>
      <c r="I161" s="5" t="s">
        <v>206</v>
      </c>
      <c r="J161" s="9">
        <f ca="1">(TODAY()-Combined_table[[#This Row],[Date Joined]])/365</f>
        <v>5.2904109589041095</v>
      </c>
      <c r="K161" s="5">
        <f>IF(Combined_table[[#This Row],[Rating]]="Exceptional",5,
IF(Combined_table[[#This Row],[Rating]]="Above Average",4,
IF(Combined_table[[#This Row],[Rating]]="Average",3,
IF(Combined_table[[#This Row],[Rating]]="Poor",2,
IF(Combined_table[[#This Row],[Rating]]="Very Poor",1,"")))))</f>
        <v>2</v>
      </c>
      <c r="L161" s="5"/>
    </row>
    <row r="162" spans="2:12" x14ac:dyDescent="0.3">
      <c r="B162" s="5" t="s">
        <v>123</v>
      </c>
      <c r="C162" s="5" t="s">
        <v>9</v>
      </c>
      <c r="D162" s="5">
        <v>29</v>
      </c>
      <c r="E162" s="5" t="s">
        <v>20</v>
      </c>
      <c r="F162" s="6">
        <v>44180</v>
      </c>
      <c r="G162" s="5" t="s">
        <v>11</v>
      </c>
      <c r="H162" s="28">
        <v>112110</v>
      </c>
      <c r="I162" s="5" t="s">
        <v>208</v>
      </c>
      <c r="J162" s="9">
        <f ca="1">(TODAY()-Combined_table[[#This Row],[Date Joined]])/365</f>
        <v>5.1232876712328768</v>
      </c>
      <c r="K162" s="5">
        <f>IF(Combined_table[[#This Row],[Rating]]="Exceptional",5,
IF(Combined_table[[#This Row],[Rating]]="Above Average",4,
IF(Combined_table[[#This Row],[Rating]]="Average",3,
IF(Combined_table[[#This Row],[Rating]]="Poor",2,
IF(Combined_table[[#This Row],[Rating]]="Very Poor",1,"")))))</f>
        <v>2</v>
      </c>
      <c r="L162" s="5"/>
    </row>
    <row r="163" spans="2:12" x14ac:dyDescent="0.3">
      <c r="B163" s="5" t="s">
        <v>48</v>
      </c>
      <c r="C163" s="5" t="s">
        <v>13</v>
      </c>
      <c r="D163" s="5">
        <v>30</v>
      </c>
      <c r="E163" s="5" t="s">
        <v>10</v>
      </c>
      <c r="F163" s="6">
        <v>44800</v>
      </c>
      <c r="G163" s="5" t="s">
        <v>16</v>
      </c>
      <c r="H163" s="28">
        <v>112570</v>
      </c>
      <c r="I163" s="5" t="s">
        <v>206</v>
      </c>
      <c r="J163" s="9">
        <f ca="1">(TODAY()-Combined_table[[#This Row],[Date Joined]])/365</f>
        <v>3.4246575342465753</v>
      </c>
      <c r="K163" s="5">
        <f>IF(Combined_table[[#This Row],[Rating]]="Exceptional",5,
IF(Combined_table[[#This Row],[Rating]]="Above Average",4,
IF(Combined_table[[#This Row],[Rating]]="Average",3,
IF(Combined_table[[#This Row],[Rating]]="Poor",2,
IF(Combined_table[[#This Row],[Rating]]="Very Poor",1,"")))))</f>
        <v>3</v>
      </c>
      <c r="L163" s="5"/>
    </row>
    <row r="164" spans="2:12" x14ac:dyDescent="0.3">
      <c r="B164" s="5" t="s">
        <v>118</v>
      </c>
      <c r="C164" s="5" t="s">
        <v>13</v>
      </c>
      <c r="D164" s="5">
        <v>30</v>
      </c>
      <c r="E164" s="5" t="s">
        <v>10</v>
      </c>
      <c r="F164" s="6">
        <v>44861</v>
      </c>
      <c r="G164" s="5" t="s">
        <v>16</v>
      </c>
      <c r="H164" s="28">
        <v>112570</v>
      </c>
      <c r="I164" s="5" t="s">
        <v>208</v>
      </c>
      <c r="J164" s="9">
        <f ca="1">(TODAY()-Combined_table[[#This Row],[Date Joined]])/365</f>
        <v>3.2575342465753425</v>
      </c>
      <c r="K164" s="5">
        <f>IF(Combined_table[[#This Row],[Rating]]="Exceptional",5,
IF(Combined_table[[#This Row],[Rating]]="Above Average",4,
IF(Combined_table[[#This Row],[Rating]]="Average",3,
IF(Combined_table[[#This Row],[Rating]]="Poor",2,
IF(Combined_table[[#This Row],[Rating]]="Very Poor",1,"")))))</f>
        <v>3</v>
      </c>
      <c r="L164" s="5"/>
    </row>
    <row r="165" spans="2:12" x14ac:dyDescent="0.3">
      <c r="B165" s="5" t="s">
        <v>8</v>
      </c>
      <c r="C165" s="5" t="s">
        <v>9</v>
      </c>
      <c r="D165" s="5">
        <v>20</v>
      </c>
      <c r="E165" s="5" t="s">
        <v>10</v>
      </c>
      <c r="F165" s="6">
        <v>44122</v>
      </c>
      <c r="G165" s="5" t="s">
        <v>11</v>
      </c>
      <c r="H165" s="28">
        <v>112650</v>
      </c>
      <c r="I165" s="5" t="s">
        <v>206</v>
      </c>
      <c r="J165" s="9">
        <f ca="1">(TODAY()-Combined_table[[#This Row],[Date Joined]])/365</f>
        <v>5.2821917808219174</v>
      </c>
      <c r="K165" s="5">
        <f>IF(Combined_table[[#This Row],[Rating]]="Exceptional",5,
IF(Combined_table[[#This Row],[Rating]]="Above Average",4,
IF(Combined_table[[#This Row],[Rating]]="Average",3,
IF(Combined_table[[#This Row],[Rating]]="Poor",2,
IF(Combined_table[[#This Row],[Rating]]="Very Poor",1,"")))))</f>
        <v>3</v>
      </c>
      <c r="L165" s="5"/>
    </row>
    <row r="166" spans="2:12" x14ac:dyDescent="0.3">
      <c r="B166" s="5" t="s">
        <v>32</v>
      </c>
      <c r="C166" s="5" t="s">
        <v>9</v>
      </c>
      <c r="D166" s="5">
        <v>34</v>
      </c>
      <c r="E166" s="5" t="s">
        <v>10</v>
      </c>
      <c r="F166" s="6">
        <v>44642</v>
      </c>
      <c r="G166" s="5" t="s">
        <v>16</v>
      </c>
      <c r="H166" s="28">
        <v>112650</v>
      </c>
      <c r="I166" s="5" t="s">
        <v>206</v>
      </c>
      <c r="J166" s="9">
        <f ca="1">(TODAY()-Combined_table[[#This Row],[Date Joined]])/365</f>
        <v>3.8575342465753426</v>
      </c>
      <c r="K166" s="5">
        <f>IF(Combined_table[[#This Row],[Rating]]="Exceptional",5,
IF(Combined_table[[#This Row],[Rating]]="Above Average",4,
IF(Combined_table[[#This Row],[Rating]]="Average",3,
IF(Combined_table[[#This Row],[Rating]]="Poor",2,
IF(Combined_table[[#This Row],[Rating]]="Very Poor",1,"")))))</f>
        <v>3</v>
      </c>
      <c r="L166" s="5"/>
    </row>
    <row r="167" spans="2:12" x14ac:dyDescent="0.3">
      <c r="B167" s="5" t="s">
        <v>157</v>
      </c>
      <c r="C167" s="5" t="s">
        <v>9</v>
      </c>
      <c r="D167" s="5">
        <v>20</v>
      </c>
      <c r="E167" s="5" t="s">
        <v>10</v>
      </c>
      <c r="F167" s="6">
        <v>44183</v>
      </c>
      <c r="G167" s="5" t="s">
        <v>11</v>
      </c>
      <c r="H167" s="28">
        <v>112650</v>
      </c>
      <c r="I167" s="5" t="s">
        <v>208</v>
      </c>
      <c r="J167" s="9">
        <f ca="1">(TODAY()-Combined_table[[#This Row],[Date Joined]])/365</f>
        <v>5.1150684931506847</v>
      </c>
      <c r="K167" s="5">
        <f>IF(Combined_table[[#This Row],[Rating]]="Exceptional",5,
IF(Combined_table[[#This Row],[Rating]]="Above Average",4,
IF(Combined_table[[#This Row],[Rating]]="Average",3,
IF(Combined_table[[#This Row],[Rating]]="Poor",2,
IF(Combined_table[[#This Row],[Rating]]="Very Poor",1,"")))))</f>
        <v>3</v>
      </c>
      <c r="L167" s="5"/>
    </row>
    <row r="168" spans="2:12" x14ac:dyDescent="0.3">
      <c r="B168" s="5" t="s">
        <v>56</v>
      </c>
      <c r="C168" s="5" t="s">
        <v>9</v>
      </c>
      <c r="D168" s="5">
        <v>22</v>
      </c>
      <c r="E168" s="5" t="s">
        <v>14</v>
      </c>
      <c r="F168" s="6">
        <v>44384</v>
      </c>
      <c r="G168" s="5" t="s">
        <v>23</v>
      </c>
      <c r="H168" s="28">
        <v>112780</v>
      </c>
      <c r="I168" s="5" t="s">
        <v>206</v>
      </c>
      <c r="J168" s="9">
        <f ca="1">(TODAY()-Combined_table[[#This Row],[Date Joined]])/365</f>
        <v>4.5643835616438357</v>
      </c>
      <c r="K168" s="5">
        <f>IF(Combined_table[[#This Row],[Rating]]="Exceptional",5,
IF(Combined_table[[#This Row],[Rating]]="Above Average",4,
IF(Combined_table[[#This Row],[Rating]]="Average",3,
IF(Combined_table[[#This Row],[Rating]]="Poor",2,
IF(Combined_table[[#This Row],[Rating]]="Very Poor",1,"")))))</f>
        <v>4</v>
      </c>
      <c r="L168" s="5"/>
    </row>
    <row r="169" spans="2:12" x14ac:dyDescent="0.3">
      <c r="B169" s="5" t="s">
        <v>113</v>
      </c>
      <c r="C169" s="5" t="s">
        <v>9</v>
      </c>
      <c r="D169" s="5">
        <v>22</v>
      </c>
      <c r="E169" s="5" t="s">
        <v>14</v>
      </c>
      <c r="F169" s="6">
        <v>44446</v>
      </c>
      <c r="G169" s="5" t="s">
        <v>23</v>
      </c>
      <c r="H169" s="28">
        <v>112780</v>
      </c>
      <c r="I169" s="5" t="s">
        <v>208</v>
      </c>
      <c r="J169" s="9">
        <f ca="1">(TODAY()-Combined_table[[#This Row],[Date Joined]])/365</f>
        <v>4.3945205479452056</v>
      </c>
      <c r="K169" s="5">
        <f>IF(Combined_table[[#This Row],[Rating]]="Exceptional",5,
IF(Combined_table[[#This Row],[Rating]]="Above Average",4,
IF(Combined_table[[#This Row],[Rating]]="Average",3,
IF(Combined_table[[#This Row],[Rating]]="Poor",2,
IF(Combined_table[[#This Row],[Rating]]="Very Poor",1,"")))))</f>
        <v>4</v>
      </c>
      <c r="L169" s="5"/>
    </row>
    <row r="170" spans="2:12" x14ac:dyDescent="0.3">
      <c r="B170" s="5" t="s">
        <v>87</v>
      </c>
      <c r="C170" s="5" t="s">
        <v>9</v>
      </c>
      <c r="D170" s="5">
        <v>27</v>
      </c>
      <c r="E170" s="5" t="s">
        <v>82</v>
      </c>
      <c r="F170" s="6">
        <v>44547</v>
      </c>
      <c r="G170" s="5" t="s">
        <v>16</v>
      </c>
      <c r="H170" s="28">
        <v>113280</v>
      </c>
      <c r="I170" s="5" t="s">
        <v>206</v>
      </c>
      <c r="J170" s="9">
        <f ca="1">(TODAY()-Combined_table[[#This Row],[Date Joined]])/365</f>
        <v>4.117808219178082</v>
      </c>
      <c r="K170" s="5">
        <f>IF(Combined_table[[#This Row],[Rating]]="Exceptional",5,
IF(Combined_table[[#This Row],[Rating]]="Above Average",4,
IF(Combined_table[[#This Row],[Rating]]="Average",3,
IF(Combined_table[[#This Row],[Rating]]="Poor",2,
IF(Combined_table[[#This Row],[Rating]]="Very Poor",1,"")))))</f>
        <v>1</v>
      </c>
      <c r="L170" s="5"/>
    </row>
    <row r="171" spans="2:12" x14ac:dyDescent="0.3">
      <c r="B171" s="5" t="s">
        <v>169</v>
      </c>
      <c r="C171" s="5" t="s">
        <v>9</v>
      </c>
      <c r="D171" s="5">
        <v>27</v>
      </c>
      <c r="E171" s="5" t="s">
        <v>82</v>
      </c>
      <c r="F171" s="6">
        <v>44609</v>
      </c>
      <c r="G171" s="5" t="s">
        <v>16</v>
      </c>
      <c r="H171" s="28">
        <v>113280</v>
      </c>
      <c r="I171" s="5" t="s">
        <v>208</v>
      </c>
      <c r="J171" s="9">
        <f ca="1">(TODAY()-Combined_table[[#This Row],[Date Joined]])/365</f>
        <v>3.9479452054794519</v>
      </c>
      <c r="K171" s="5">
        <f>IF(Combined_table[[#This Row],[Rating]]="Exceptional",5,
IF(Combined_table[[#This Row],[Rating]]="Above Average",4,
IF(Combined_table[[#This Row],[Rating]]="Average",3,
IF(Combined_table[[#This Row],[Rating]]="Poor",2,
IF(Combined_table[[#This Row],[Rating]]="Very Poor",1,"")))))</f>
        <v>1</v>
      </c>
      <c r="L171" s="5"/>
    </row>
    <row r="172" spans="2:12" x14ac:dyDescent="0.3">
      <c r="B172" s="5" t="s">
        <v>97</v>
      </c>
      <c r="C172" s="5" t="s">
        <v>13</v>
      </c>
      <c r="D172" s="5">
        <v>30</v>
      </c>
      <c r="E172" s="5" t="s">
        <v>10</v>
      </c>
      <c r="F172" s="6">
        <v>44789</v>
      </c>
      <c r="G172" s="5" t="s">
        <v>16</v>
      </c>
      <c r="H172" s="28">
        <v>114180</v>
      </c>
      <c r="I172" s="5" t="s">
        <v>206</v>
      </c>
      <c r="J172" s="9">
        <f ca="1">(TODAY()-Combined_table[[#This Row],[Date Joined]])/365</f>
        <v>3.4547945205479453</v>
      </c>
      <c r="K172" s="5">
        <f>IF(Combined_table[[#This Row],[Rating]]="Exceptional",5,
IF(Combined_table[[#This Row],[Rating]]="Above Average",4,
IF(Combined_table[[#This Row],[Rating]]="Average",3,
IF(Combined_table[[#This Row],[Rating]]="Poor",2,
IF(Combined_table[[#This Row],[Rating]]="Very Poor",1,"")))))</f>
        <v>3</v>
      </c>
      <c r="L172" s="5"/>
    </row>
    <row r="173" spans="2:12" x14ac:dyDescent="0.3">
      <c r="B173" s="5" t="s">
        <v>186</v>
      </c>
      <c r="C173" s="5" t="s">
        <v>13</v>
      </c>
      <c r="D173" s="5">
        <v>30</v>
      </c>
      <c r="E173" s="5" t="s">
        <v>10</v>
      </c>
      <c r="F173" s="6">
        <v>44850</v>
      </c>
      <c r="G173" s="5" t="s">
        <v>16</v>
      </c>
      <c r="H173" s="28">
        <v>114180</v>
      </c>
      <c r="I173" s="5" t="s">
        <v>208</v>
      </c>
      <c r="J173" s="9">
        <f ca="1">(TODAY()-Combined_table[[#This Row],[Date Joined]])/365</f>
        <v>3.2876712328767121</v>
      </c>
      <c r="K173" s="5">
        <f>IF(Combined_table[[#This Row],[Rating]]="Exceptional",5,
IF(Combined_table[[#This Row],[Rating]]="Above Average",4,
IF(Combined_table[[#This Row],[Rating]]="Average",3,
IF(Combined_table[[#This Row],[Rating]]="Poor",2,
IF(Combined_table[[#This Row],[Rating]]="Very Poor",1,"")))))</f>
        <v>3</v>
      </c>
      <c r="L173" s="5"/>
    </row>
    <row r="174" spans="2:12" x14ac:dyDescent="0.3">
      <c r="B174" s="5" t="s">
        <v>46</v>
      </c>
      <c r="C174" s="5" t="s">
        <v>13</v>
      </c>
      <c r="D174" s="5">
        <v>44</v>
      </c>
      <c r="E174" s="5" t="s">
        <v>10</v>
      </c>
      <c r="F174" s="6">
        <v>44985</v>
      </c>
      <c r="G174" s="5" t="s">
        <v>11</v>
      </c>
      <c r="H174" s="28">
        <v>114870</v>
      </c>
      <c r="I174" s="5" t="s">
        <v>206</v>
      </c>
      <c r="J174" s="9">
        <f ca="1">(TODAY()-Combined_table[[#This Row],[Date Joined]])/365</f>
        <v>2.9178082191780823</v>
      </c>
      <c r="K174" s="5">
        <f>IF(Combined_table[[#This Row],[Rating]]="Exceptional",5,
IF(Combined_table[[#This Row],[Rating]]="Above Average",4,
IF(Combined_table[[#This Row],[Rating]]="Average",3,
IF(Combined_table[[#This Row],[Rating]]="Poor",2,
IF(Combined_table[[#This Row],[Rating]]="Very Poor",1,"")))))</f>
        <v>3</v>
      </c>
      <c r="L174" s="5"/>
    </row>
    <row r="175" spans="2:12" x14ac:dyDescent="0.3">
      <c r="B175" s="5" t="s">
        <v>173</v>
      </c>
      <c r="C175" s="5" t="s">
        <v>13</v>
      </c>
      <c r="D175" s="5">
        <v>43</v>
      </c>
      <c r="E175" s="5" t="s">
        <v>10</v>
      </c>
      <c r="F175" s="6">
        <v>45045</v>
      </c>
      <c r="G175" s="5" t="s">
        <v>11</v>
      </c>
      <c r="H175" s="28">
        <v>114870</v>
      </c>
      <c r="I175" s="5" t="s">
        <v>208</v>
      </c>
      <c r="J175" s="9">
        <f ca="1">(TODAY()-Combined_table[[#This Row],[Date Joined]])/365</f>
        <v>2.7534246575342465</v>
      </c>
      <c r="K175" s="5">
        <f>IF(Combined_table[[#This Row],[Rating]]="Exceptional",5,
IF(Combined_table[[#This Row],[Rating]]="Above Average",4,
IF(Combined_table[[#This Row],[Rating]]="Average",3,
IF(Combined_table[[#This Row],[Rating]]="Poor",2,
IF(Combined_table[[#This Row],[Rating]]="Very Poor",1,"")))))</f>
        <v>3</v>
      </c>
      <c r="L175" s="5"/>
    </row>
    <row r="176" spans="2:12" x14ac:dyDescent="0.3">
      <c r="B176" s="5" t="s">
        <v>57</v>
      </c>
      <c r="C176" s="5" t="s">
        <v>13</v>
      </c>
      <c r="D176" s="5">
        <v>36</v>
      </c>
      <c r="E176" s="5" t="s">
        <v>10</v>
      </c>
      <c r="F176" s="6">
        <v>44023</v>
      </c>
      <c r="G176" s="5" t="s">
        <v>16</v>
      </c>
      <c r="H176" s="28">
        <v>114890</v>
      </c>
      <c r="I176" s="5" t="s">
        <v>206</v>
      </c>
      <c r="J176" s="9">
        <f ca="1">(TODAY()-Combined_table[[#This Row],[Date Joined]])/365</f>
        <v>5.5534246575342463</v>
      </c>
      <c r="K176" s="5">
        <f>IF(Combined_table[[#This Row],[Rating]]="Exceptional",5,
IF(Combined_table[[#This Row],[Rating]]="Above Average",4,
IF(Combined_table[[#This Row],[Rating]]="Average",3,
IF(Combined_table[[#This Row],[Rating]]="Poor",2,
IF(Combined_table[[#This Row],[Rating]]="Very Poor",1,"")))))</f>
        <v>3</v>
      </c>
      <c r="L176" s="5"/>
    </row>
    <row r="177" spans="2:12" x14ac:dyDescent="0.3">
      <c r="B177" s="5" t="s">
        <v>165</v>
      </c>
      <c r="C177" s="5" t="s">
        <v>13</v>
      </c>
      <c r="D177" s="5">
        <v>36</v>
      </c>
      <c r="E177" s="5" t="s">
        <v>10</v>
      </c>
      <c r="F177" s="6">
        <v>44085</v>
      </c>
      <c r="G177" s="5" t="s">
        <v>16</v>
      </c>
      <c r="H177" s="28">
        <v>114890</v>
      </c>
      <c r="I177" s="5" t="s">
        <v>208</v>
      </c>
      <c r="J177" s="9">
        <f ca="1">(TODAY()-Combined_table[[#This Row],[Date Joined]])/365</f>
        <v>5.3835616438356162</v>
      </c>
      <c r="K177" s="5">
        <f>IF(Combined_table[[#This Row],[Rating]]="Exceptional",5,
IF(Combined_table[[#This Row],[Rating]]="Above Average",4,
IF(Combined_table[[#This Row],[Rating]]="Average",3,
IF(Combined_table[[#This Row],[Rating]]="Poor",2,
IF(Combined_table[[#This Row],[Rating]]="Very Poor",1,"")))))</f>
        <v>3</v>
      </c>
      <c r="L177" s="5"/>
    </row>
    <row r="178" spans="2:12" x14ac:dyDescent="0.3">
      <c r="B178" s="5" t="s">
        <v>19</v>
      </c>
      <c r="C178" s="5" t="s">
        <v>207</v>
      </c>
      <c r="D178" s="5">
        <v>37</v>
      </c>
      <c r="E178" s="5" t="s">
        <v>20</v>
      </c>
      <c r="F178" s="6">
        <v>44085</v>
      </c>
      <c r="G178" s="5" t="s">
        <v>21</v>
      </c>
      <c r="H178" s="28">
        <v>115440</v>
      </c>
      <c r="I178" s="5" t="s">
        <v>206</v>
      </c>
      <c r="J178" s="9">
        <f ca="1">(TODAY()-Combined_table[[#This Row],[Date Joined]])/365</f>
        <v>5.3835616438356162</v>
      </c>
      <c r="K178" s="5">
        <f>IF(Combined_table[[#This Row],[Rating]]="Exceptional",5,
IF(Combined_table[[#This Row],[Rating]]="Above Average",4,
IF(Combined_table[[#This Row],[Rating]]="Average",3,
IF(Combined_table[[#This Row],[Rating]]="Poor",2,
IF(Combined_table[[#This Row],[Rating]]="Very Poor",1,"")))))</f>
        <v>2</v>
      </c>
      <c r="L178" s="5"/>
    </row>
    <row r="179" spans="2:12" x14ac:dyDescent="0.3">
      <c r="B179" s="5" t="s">
        <v>116</v>
      </c>
      <c r="C179" s="5" t="s">
        <v>207</v>
      </c>
      <c r="D179" s="5">
        <v>37</v>
      </c>
      <c r="E179" s="5" t="s">
        <v>20</v>
      </c>
      <c r="F179" s="6">
        <v>44146</v>
      </c>
      <c r="G179" s="5" t="s">
        <v>21</v>
      </c>
      <c r="H179" s="28">
        <v>115440</v>
      </c>
      <c r="I179" s="5" t="s">
        <v>208</v>
      </c>
      <c r="J179" s="9">
        <f ca="1">(TODAY()-Combined_table[[#This Row],[Date Joined]])/365</f>
        <v>5.2164383561643834</v>
      </c>
      <c r="K179" s="5">
        <f>IF(Combined_table[[#This Row],[Rating]]="Exceptional",5,
IF(Combined_table[[#This Row],[Rating]]="Above Average",4,
IF(Combined_table[[#This Row],[Rating]]="Average",3,
IF(Combined_table[[#This Row],[Rating]]="Poor",2,
IF(Combined_table[[#This Row],[Rating]]="Very Poor",1,"")))))</f>
        <v>2</v>
      </c>
      <c r="L179" s="5"/>
    </row>
    <row r="180" spans="2:12" x14ac:dyDescent="0.3">
      <c r="B180" s="5" t="s">
        <v>72</v>
      </c>
      <c r="C180" s="5" t="s">
        <v>9</v>
      </c>
      <c r="D180" s="5">
        <v>33</v>
      </c>
      <c r="E180" s="5" t="s">
        <v>10</v>
      </c>
      <c r="F180" s="6">
        <v>44103</v>
      </c>
      <c r="G180" s="5" t="s">
        <v>16</v>
      </c>
      <c r="H180" s="28">
        <v>115920</v>
      </c>
      <c r="I180" s="5" t="s">
        <v>206</v>
      </c>
      <c r="J180" s="9">
        <f ca="1">(TODAY()-Combined_table[[#This Row],[Date Joined]])/365</f>
        <v>5.3342465753424655</v>
      </c>
      <c r="K180" s="5">
        <f>IF(Combined_table[[#This Row],[Rating]]="Exceptional",5,
IF(Combined_table[[#This Row],[Rating]]="Above Average",4,
IF(Combined_table[[#This Row],[Rating]]="Average",3,
IF(Combined_table[[#This Row],[Rating]]="Poor",2,
IF(Combined_table[[#This Row],[Rating]]="Very Poor",1,"")))))</f>
        <v>3</v>
      </c>
      <c r="L180" s="5"/>
    </row>
    <row r="181" spans="2:12" x14ac:dyDescent="0.3">
      <c r="B181" s="5" t="s">
        <v>144</v>
      </c>
      <c r="C181" s="5" t="s">
        <v>9</v>
      </c>
      <c r="D181" s="5">
        <v>33</v>
      </c>
      <c r="E181" s="5" t="s">
        <v>10</v>
      </c>
      <c r="F181" s="6">
        <v>44164</v>
      </c>
      <c r="G181" s="5" t="s">
        <v>16</v>
      </c>
      <c r="H181" s="28">
        <v>115920</v>
      </c>
      <c r="I181" s="5" t="s">
        <v>208</v>
      </c>
      <c r="J181" s="9">
        <f ca="1">(TODAY()-Combined_table[[#This Row],[Date Joined]])/365</f>
        <v>5.1671232876712327</v>
      </c>
      <c r="K181" s="5">
        <f>IF(Combined_table[[#This Row],[Rating]]="Exceptional",5,
IF(Combined_table[[#This Row],[Rating]]="Above Average",4,
IF(Combined_table[[#This Row],[Rating]]="Average",3,
IF(Combined_table[[#This Row],[Rating]]="Poor",2,
IF(Combined_table[[#This Row],[Rating]]="Very Poor",1,"")))))</f>
        <v>3</v>
      </c>
      <c r="L181" s="5"/>
    </row>
    <row r="182" spans="2:12" x14ac:dyDescent="0.3">
      <c r="B182" s="5" t="s">
        <v>95</v>
      </c>
      <c r="C182" s="5" t="s">
        <v>13</v>
      </c>
      <c r="D182" s="5">
        <v>37</v>
      </c>
      <c r="E182" s="5" t="s">
        <v>10</v>
      </c>
      <c r="F182" s="6">
        <v>44389</v>
      </c>
      <c r="G182" s="5" t="s">
        <v>18</v>
      </c>
      <c r="H182" s="28">
        <v>118100</v>
      </c>
      <c r="I182" s="5" t="s">
        <v>206</v>
      </c>
      <c r="J182" s="9">
        <f ca="1">(TODAY()-Combined_table[[#This Row],[Date Joined]])/365</f>
        <v>4.5506849315068489</v>
      </c>
      <c r="K182" s="5">
        <f>IF(Combined_table[[#This Row],[Rating]]="Exceptional",5,
IF(Combined_table[[#This Row],[Rating]]="Above Average",4,
IF(Combined_table[[#This Row],[Rating]]="Average",3,
IF(Combined_table[[#This Row],[Rating]]="Poor",2,
IF(Combined_table[[#This Row],[Rating]]="Very Poor",1,"")))))</f>
        <v>3</v>
      </c>
      <c r="L182" s="5"/>
    </row>
    <row r="183" spans="2:12" x14ac:dyDescent="0.3">
      <c r="B183" s="5" t="s">
        <v>171</v>
      </c>
      <c r="C183" s="5" t="s">
        <v>13</v>
      </c>
      <c r="D183" s="5">
        <v>37</v>
      </c>
      <c r="E183" s="5" t="s">
        <v>10</v>
      </c>
      <c r="F183" s="6">
        <v>44451</v>
      </c>
      <c r="G183" s="5" t="s">
        <v>18</v>
      </c>
      <c r="H183" s="28">
        <v>118100</v>
      </c>
      <c r="I183" s="5" t="s">
        <v>208</v>
      </c>
      <c r="J183" s="9">
        <f ca="1">(TODAY()-Combined_table[[#This Row],[Date Joined]])/365</f>
        <v>4.3808219178082188</v>
      </c>
      <c r="K183" s="5">
        <f>IF(Combined_table[[#This Row],[Rating]]="Exceptional",5,
IF(Combined_table[[#This Row],[Rating]]="Above Average",4,
IF(Combined_table[[#This Row],[Rating]]="Average",3,
IF(Combined_table[[#This Row],[Rating]]="Poor",2,
IF(Combined_table[[#This Row],[Rating]]="Very Poor",1,"")))))</f>
        <v>3</v>
      </c>
      <c r="L183" s="5"/>
    </row>
    <row r="184" spans="2:12" x14ac:dyDescent="0.3">
      <c r="B184" s="5" t="s">
        <v>34</v>
      </c>
      <c r="C184" s="5" t="s">
        <v>9</v>
      </c>
      <c r="D184" s="5">
        <v>36</v>
      </c>
      <c r="E184" s="5" t="s">
        <v>10</v>
      </c>
      <c r="F184" s="6">
        <v>43958</v>
      </c>
      <c r="G184" s="5" t="s">
        <v>11</v>
      </c>
      <c r="H184" s="28">
        <v>118840</v>
      </c>
      <c r="I184" s="5" t="s">
        <v>206</v>
      </c>
      <c r="J184" s="9">
        <f ca="1">(TODAY()-Combined_table[[#This Row],[Date Joined]])/365</f>
        <v>5.7315068493150685</v>
      </c>
      <c r="K184" s="5">
        <f>IF(Combined_table[[#This Row],[Rating]]="Exceptional",5,
IF(Combined_table[[#This Row],[Rating]]="Above Average",4,
IF(Combined_table[[#This Row],[Rating]]="Average",3,
IF(Combined_table[[#This Row],[Rating]]="Poor",2,
IF(Combined_table[[#This Row],[Rating]]="Very Poor",1,"")))))</f>
        <v>3</v>
      </c>
      <c r="L184" s="5"/>
    </row>
    <row r="185" spans="2:12" x14ac:dyDescent="0.3">
      <c r="B185" s="5" t="s">
        <v>162</v>
      </c>
      <c r="C185" s="5" t="s">
        <v>9</v>
      </c>
      <c r="D185" s="5">
        <v>36</v>
      </c>
      <c r="E185" s="5" t="s">
        <v>10</v>
      </c>
      <c r="F185" s="6">
        <v>44019</v>
      </c>
      <c r="G185" s="5" t="s">
        <v>11</v>
      </c>
      <c r="H185" s="28">
        <v>118840</v>
      </c>
      <c r="I185" s="5" t="s">
        <v>208</v>
      </c>
      <c r="J185" s="9">
        <f ca="1">(TODAY()-Combined_table[[#This Row],[Date Joined]])/365</f>
        <v>5.5643835616438357</v>
      </c>
      <c r="K185" s="5">
        <f>IF(Combined_table[[#This Row],[Rating]]="Exceptional",5,
IF(Combined_table[[#This Row],[Rating]]="Above Average",4,
IF(Combined_table[[#This Row],[Rating]]="Average",3,
IF(Combined_table[[#This Row],[Rating]]="Poor",2,
IF(Combined_table[[#This Row],[Rating]]="Very Poor",1,"")))))</f>
        <v>3</v>
      </c>
      <c r="L185" s="5"/>
    </row>
    <row r="186" spans="2:12" x14ac:dyDescent="0.3">
      <c r="B186" s="5" t="s">
        <v>55</v>
      </c>
      <c r="C186" s="5" t="s">
        <v>13</v>
      </c>
      <c r="D186" s="5">
        <v>27</v>
      </c>
      <c r="E186" s="5" t="s">
        <v>10</v>
      </c>
      <c r="F186" s="6">
        <v>44061</v>
      </c>
      <c r="G186" s="5" t="s">
        <v>18</v>
      </c>
      <c r="H186" s="28">
        <v>119110</v>
      </c>
      <c r="I186" s="5" t="s">
        <v>206</v>
      </c>
      <c r="J186" s="9">
        <f ca="1">(TODAY()-Combined_table[[#This Row],[Date Joined]])/365</f>
        <v>5.4493150684931511</v>
      </c>
      <c r="K186" s="5">
        <f>IF(Combined_table[[#This Row],[Rating]]="Exceptional",5,
IF(Combined_table[[#This Row],[Rating]]="Above Average",4,
IF(Combined_table[[#This Row],[Rating]]="Average",3,
IF(Combined_table[[#This Row],[Rating]]="Poor",2,
IF(Combined_table[[#This Row],[Rating]]="Very Poor",1,"")))))</f>
        <v>3</v>
      </c>
      <c r="L186" s="5"/>
    </row>
    <row r="187" spans="2:12" x14ac:dyDescent="0.3">
      <c r="B187" s="5" t="s">
        <v>122</v>
      </c>
      <c r="C187" s="5" t="s">
        <v>13</v>
      </c>
      <c r="D187" s="5">
        <v>27</v>
      </c>
      <c r="E187" s="5" t="s">
        <v>10</v>
      </c>
      <c r="F187" s="6">
        <v>44122</v>
      </c>
      <c r="G187" s="5" t="s">
        <v>18</v>
      </c>
      <c r="H187" s="28">
        <v>119110</v>
      </c>
      <c r="I187" s="5" t="s">
        <v>208</v>
      </c>
      <c r="J187" s="9">
        <f ca="1">(TODAY()-Combined_table[[#This Row],[Date Joined]])/365</f>
        <v>5.2821917808219174</v>
      </c>
      <c r="K187" s="5">
        <f>IF(Combined_table[[#This Row],[Rating]]="Exceptional",5,
IF(Combined_table[[#This Row],[Rating]]="Above Average",4,
IF(Combined_table[[#This Row],[Rating]]="Average",3,
IF(Combined_table[[#This Row],[Rating]]="Poor",2,
IF(Combined_table[[#This Row],[Rating]]="Very Poor",1,"")))))</f>
        <v>3</v>
      </c>
      <c r="L187" s="5"/>
    </row>
  </sheetData>
  <mergeCells count="4">
    <mergeCell ref="N2:P2"/>
    <mergeCell ref="M13:N13"/>
    <mergeCell ref="M22:N22"/>
    <mergeCell ref="M24:N24"/>
  </mergeCells>
  <conditionalFormatting sqref="H5:H187">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62"/>
  <sheetViews>
    <sheetView workbookViewId="0">
      <selection activeCell="G10" sqref="G10"/>
    </sheetView>
  </sheetViews>
  <sheetFormatPr defaultRowHeight="14.4" x14ac:dyDescent="0.3"/>
  <cols>
    <col min="2" max="2" width="22.44140625" bestFit="1" customWidth="1"/>
    <col min="3" max="3" width="7.6640625" bestFit="1" customWidth="1"/>
    <col min="4" max="4" width="13.109375" bestFit="1" customWidth="1"/>
  </cols>
  <sheetData>
    <row r="3" spans="2:4" x14ac:dyDescent="0.3">
      <c r="B3" s="53" t="s">
        <v>225</v>
      </c>
      <c r="C3" s="53"/>
      <c r="D3" s="53"/>
    </row>
    <row r="4" spans="2:4" x14ac:dyDescent="0.3">
      <c r="B4" s="19"/>
      <c r="C4" s="19"/>
      <c r="D4" s="19"/>
    </row>
    <row r="5" spans="2:4" x14ac:dyDescent="0.3">
      <c r="B5" s="20" t="s">
        <v>6</v>
      </c>
      <c r="C5" s="21" t="s">
        <v>11</v>
      </c>
      <c r="D5" s="19"/>
    </row>
    <row r="6" spans="2:4" x14ac:dyDescent="0.3">
      <c r="B6" s="19"/>
      <c r="C6" s="19"/>
      <c r="D6" s="19"/>
    </row>
    <row r="7" spans="2:4" x14ac:dyDescent="0.3">
      <c r="B7" s="20" t="s">
        <v>226</v>
      </c>
      <c r="C7" s="22">
        <v>54</v>
      </c>
      <c r="D7" s="19"/>
    </row>
    <row r="8" spans="2:4" x14ac:dyDescent="0.3">
      <c r="B8" s="23" t="s">
        <v>1</v>
      </c>
      <c r="C8" s="23" t="s">
        <v>7</v>
      </c>
      <c r="D8" s="23" t="s">
        <v>4</v>
      </c>
    </row>
    <row r="9" spans="2:4" x14ac:dyDescent="0.3">
      <c r="B9" s="19" t="s">
        <v>34</v>
      </c>
      <c r="C9" s="19">
        <v>118840</v>
      </c>
      <c r="D9" s="19" t="s">
        <v>10</v>
      </c>
    </row>
    <row r="10" spans="2:4" x14ac:dyDescent="0.3">
      <c r="B10" s="19" t="s">
        <v>162</v>
      </c>
      <c r="C10" s="19">
        <v>118840</v>
      </c>
      <c r="D10" s="19" t="s">
        <v>10</v>
      </c>
    </row>
    <row r="11" spans="2:4" x14ac:dyDescent="0.3">
      <c r="B11" s="19" t="s">
        <v>46</v>
      </c>
      <c r="C11" s="19">
        <v>114870</v>
      </c>
      <c r="D11" s="19" t="s">
        <v>10</v>
      </c>
    </row>
    <row r="12" spans="2:4" x14ac:dyDescent="0.3">
      <c r="B12" s="19" t="s">
        <v>173</v>
      </c>
      <c r="C12" s="19">
        <v>114870</v>
      </c>
      <c r="D12" s="19" t="s">
        <v>10</v>
      </c>
    </row>
    <row r="13" spans="2:4" x14ac:dyDescent="0.3">
      <c r="B13" s="19" t="s">
        <v>8</v>
      </c>
      <c r="C13" s="19">
        <v>112650</v>
      </c>
      <c r="D13" s="19" t="s">
        <v>10</v>
      </c>
    </row>
    <row r="14" spans="2:4" x14ac:dyDescent="0.3">
      <c r="B14" s="19" t="s">
        <v>157</v>
      </c>
      <c r="C14" s="19">
        <v>112650</v>
      </c>
      <c r="D14" s="19" t="s">
        <v>10</v>
      </c>
    </row>
    <row r="15" spans="2:4" x14ac:dyDescent="0.3">
      <c r="B15" s="19" t="s">
        <v>54</v>
      </c>
      <c r="C15" s="19">
        <v>112110</v>
      </c>
      <c r="D15" s="19" t="s">
        <v>20</v>
      </c>
    </row>
    <row r="16" spans="2:4" x14ac:dyDescent="0.3">
      <c r="B16" s="19" t="s">
        <v>123</v>
      </c>
      <c r="C16" s="19">
        <v>112110</v>
      </c>
      <c r="D16" s="19" t="s">
        <v>20</v>
      </c>
    </row>
    <row r="17" spans="2:4" x14ac:dyDescent="0.3">
      <c r="B17" s="19" t="s">
        <v>102</v>
      </c>
      <c r="C17" s="19">
        <v>107700</v>
      </c>
      <c r="D17" s="19" t="s">
        <v>10</v>
      </c>
    </row>
    <row r="18" spans="2:4" x14ac:dyDescent="0.3">
      <c r="B18" s="19" t="s">
        <v>126</v>
      </c>
      <c r="C18" s="19">
        <v>107700</v>
      </c>
      <c r="D18" s="19" t="s">
        <v>10</v>
      </c>
    </row>
    <row r="19" spans="2:4" x14ac:dyDescent="0.3">
      <c r="B19" s="19" t="s">
        <v>28</v>
      </c>
      <c r="C19" s="19">
        <v>104410</v>
      </c>
      <c r="D19" s="19" t="s">
        <v>10</v>
      </c>
    </row>
    <row r="20" spans="2:4" x14ac:dyDescent="0.3">
      <c r="B20" s="19" t="s">
        <v>192</v>
      </c>
      <c r="C20" s="19">
        <v>104410</v>
      </c>
      <c r="D20" s="19" t="s">
        <v>10</v>
      </c>
    </row>
    <row r="21" spans="2:4" x14ac:dyDescent="0.3">
      <c r="B21" s="19" t="s">
        <v>44</v>
      </c>
      <c r="C21" s="19">
        <v>100420</v>
      </c>
      <c r="D21" s="19" t="s">
        <v>10</v>
      </c>
    </row>
    <row r="22" spans="2:4" x14ac:dyDescent="0.3">
      <c r="B22" s="19" t="s">
        <v>185</v>
      </c>
      <c r="C22" s="19">
        <v>100420</v>
      </c>
      <c r="D22" s="19" t="s">
        <v>10</v>
      </c>
    </row>
    <row r="23" spans="2:4" x14ac:dyDescent="0.3">
      <c r="B23" s="19" t="s">
        <v>111</v>
      </c>
      <c r="C23" s="19">
        <v>96140</v>
      </c>
      <c r="D23" s="19" t="s">
        <v>10</v>
      </c>
    </row>
    <row r="24" spans="2:4" x14ac:dyDescent="0.3">
      <c r="B24" s="19" t="s">
        <v>149</v>
      </c>
      <c r="C24" s="19">
        <v>96140</v>
      </c>
      <c r="D24" s="19" t="s">
        <v>10</v>
      </c>
    </row>
    <row r="25" spans="2:4" x14ac:dyDescent="0.3">
      <c r="B25" s="19" t="s">
        <v>25</v>
      </c>
      <c r="C25" s="19">
        <v>91310</v>
      </c>
      <c r="D25" s="19" t="s">
        <v>10</v>
      </c>
    </row>
    <row r="26" spans="2:4" x14ac:dyDescent="0.3">
      <c r="B26" s="19" t="s">
        <v>174</v>
      </c>
      <c r="C26" s="19">
        <v>91310</v>
      </c>
      <c r="D26" s="19" t="s">
        <v>10</v>
      </c>
    </row>
    <row r="27" spans="2:4" x14ac:dyDescent="0.3">
      <c r="B27" s="19" t="s">
        <v>70</v>
      </c>
      <c r="C27" s="19">
        <v>90700</v>
      </c>
      <c r="D27" s="19" t="s">
        <v>14</v>
      </c>
    </row>
    <row r="28" spans="2:4" x14ac:dyDescent="0.3">
      <c r="B28" s="19" t="s">
        <v>177</v>
      </c>
      <c r="C28" s="19">
        <v>90700</v>
      </c>
      <c r="D28" s="19" t="s">
        <v>14</v>
      </c>
    </row>
    <row r="29" spans="2:4" x14ac:dyDescent="0.3">
      <c r="B29" s="19" t="s">
        <v>39</v>
      </c>
      <c r="C29" s="19">
        <v>88050</v>
      </c>
      <c r="D29" s="19" t="s">
        <v>20</v>
      </c>
    </row>
    <row r="30" spans="2:4" x14ac:dyDescent="0.3">
      <c r="B30" s="19" t="s">
        <v>184</v>
      </c>
      <c r="C30" s="19">
        <v>88050</v>
      </c>
      <c r="D30" s="19" t="s">
        <v>20</v>
      </c>
    </row>
    <row r="31" spans="2:4" x14ac:dyDescent="0.3">
      <c r="B31" s="19" t="s">
        <v>78</v>
      </c>
      <c r="C31" s="19">
        <v>87620</v>
      </c>
      <c r="D31" s="19" t="s">
        <v>10</v>
      </c>
    </row>
    <row r="32" spans="2:4" x14ac:dyDescent="0.3">
      <c r="B32" s="19" t="s">
        <v>139</v>
      </c>
      <c r="C32" s="19">
        <v>87620</v>
      </c>
      <c r="D32" s="19" t="s">
        <v>10</v>
      </c>
    </row>
    <row r="33" spans="2:4" x14ac:dyDescent="0.3">
      <c r="B33" s="19" t="s">
        <v>77</v>
      </c>
      <c r="C33" s="19">
        <v>83750</v>
      </c>
      <c r="D33" s="19" t="s">
        <v>10</v>
      </c>
    </row>
    <row r="34" spans="2:4" x14ac:dyDescent="0.3">
      <c r="B34" s="19" t="s">
        <v>155</v>
      </c>
      <c r="C34" s="19">
        <v>83750</v>
      </c>
      <c r="D34" s="19" t="s">
        <v>10</v>
      </c>
    </row>
    <row r="35" spans="2:4" x14ac:dyDescent="0.3">
      <c r="B35" s="19" t="s">
        <v>52</v>
      </c>
      <c r="C35" s="19">
        <v>80700</v>
      </c>
      <c r="D35" s="19" t="s">
        <v>14</v>
      </c>
    </row>
    <row r="36" spans="2:4" x14ac:dyDescent="0.3">
      <c r="B36" s="19" t="s">
        <v>160</v>
      </c>
      <c r="C36" s="19">
        <v>80700</v>
      </c>
      <c r="D36" s="19" t="s">
        <v>14</v>
      </c>
    </row>
    <row r="37" spans="2:4" x14ac:dyDescent="0.3">
      <c r="B37" s="19" t="s">
        <v>104</v>
      </c>
      <c r="C37" s="19">
        <v>75480</v>
      </c>
      <c r="D37" s="19" t="s">
        <v>82</v>
      </c>
    </row>
    <row r="38" spans="2:4" x14ac:dyDescent="0.3">
      <c r="B38" s="19" t="s">
        <v>143</v>
      </c>
      <c r="C38" s="19">
        <v>75480</v>
      </c>
      <c r="D38" s="19" t="s">
        <v>82</v>
      </c>
    </row>
    <row r="39" spans="2:4" x14ac:dyDescent="0.3">
      <c r="B39" s="19" t="s">
        <v>63</v>
      </c>
      <c r="C39" s="19">
        <v>75280</v>
      </c>
      <c r="D39" s="19" t="s">
        <v>10</v>
      </c>
    </row>
    <row r="40" spans="2:4" x14ac:dyDescent="0.3">
      <c r="B40" s="19" t="s">
        <v>199</v>
      </c>
      <c r="C40" s="19">
        <v>75280</v>
      </c>
      <c r="D40" s="19" t="s">
        <v>10</v>
      </c>
    </row>
    <row r="41" spans="2:4" x14ac:dyDescent="0.3">
      <c r="B41" s="19" t="s">
        <v>35</v>
      </c>
      <c r="C41" s="19">
        <v>69710</v>
      </c>
      <c r="D41" s="19" t="s">
        <v>10</v>
      </c>
    </row>
    <row r="42" spans="2:4" x14ac:dyDescent="0.3">
      <c r="B42" s="19" t="s">
        <v>166</v>
      </c>
      <c r="C42" s="19">
        <v>69710</v>
      </c>
      <c r="D42" s="19" t="s">
        <v>10</v>
      </c>
    </row>
    <row r="43" spans="2:4" x14ac:dyDescent="0.3">
      <c r="B43" s="19" t="s">
        <v>92</v>
      </c>
      <c r="C43" s="19">
        <v>69120</v>
      </c>
      <c r="D43" s="19" t="s">
        <v>10</v>
      </c>
    </row>
    <row r="44" spans="2:4" x14ac:dyDescent="0.3">
      <c r="B44" s="19" t="s">
        <v>170</v>
      </c>
      <c r="C44" s="19">
        <v>69120</v>
      </c>
      <c r="D44" s="19" t="s">
        <v>10</v>
      </c>
    </row>
    <row r="45" spans="2:4" x14ac:dyDescent="0.3">
      <c r="B45" s="19" t="s">
        <v>90</v>
      </c>
      <c r="C45" s="19">
        <v>69070</v>
      </c>
      <c r="D45" s="19" t="s">
        <v>10</v>
      </c>
    </row>
    <row r="46" spans="2:4" x14ac:dyDescent="0.3">
      <c r="B46" s="19" t="s">
        <v>125</v>
      </c>
      <c r="C46" s="19">
        <v>69070</v>
      </c>
      <c r="D46" s="19" t="s">
        <v>10</v>
      </c>
    </row>
    <row r="47" spans="2:4" x14ac:dyDescent="0.3">
      <c r="B47" s="19" t="s">
        <v>101</v>
      </c>
      <c r="C47" s="19">
        <v>62780</v>
      </c>
      <c r="D47" s="19" t="s">
        <v>10</v>
      </c>
    </row>
    <row r="48" spans="2:4" x14ac:dyDescent="0.3">
      <c r="B48" s="19" t="s">
        <v>120</v>
      </c>
      <c r="C48" s="19">
        <v>62780</v>
      </c>
      <c r="D48" s="19" t="s">
        <v>10</v>
      </c>
    </row>
    <row r="49" spans="2:4" x14ac:dyDescent="0.3">
      <c r="B49" s="19" t="s">
        <v>45</v>
      </c>
      <c r="C49" s="19">
        <v>58100</v>
      </c>
      <c r="D49" s="19" t="s">
        <v>10</v>
      </c>
    </row>
    <row r="50" spans="2:4" x14ac:dyDescent="0.3">
      <c r="B50" s="19" t="s">
        <v>135</v>
      </c>
      <c r="C50" s="19">
        <v>58100</v>
      </c>
      <c r="D50" s="19" t="s">
        <v>10</v>
      </c>
    </row>
    <row r="51" spans="2:4" x14ac:dyDescent="0.3">
      <c r="B51" s="19" t="s">
        <v>105</v>
      </c>
      <c r="C51" s="19">
        <v>53870</v>
      </c>
      <c r="D51" s="19" t="s">
        <v>10</v>
      </c>
    </row>
    <row r="52" spans="2:4" x14ac:dyDescent="0.3">
      <c r="B52" s="19" t="s">
        <v>121</v>
      </c>
      <c r="C52" s="19">
        <v>53870</v>
      </c>
      <c r="D52" s="19" t="s">
        <v>10</v>
      </c>
    </row>
    <row r="53" spans="2:4" x14ac:dyDescent="0.3">
      <c r="B53" s="19" t="s">
        <v>76</v>
      </c>
      <c r="C53" s="19">
        <v>48950</v>
      </c>
      <c r="D53" s="19" t="s">
        <v>10</v>
      </c>
    </row>
    <row r="54" spans="2:4" x14ac:dyDescent="0.3">
      <c r="B54" s="19" t="s">
        <v>151</v>
      </c>
      <c r="C54" s="19">
        <v>48950</v>
      </c>
      <c r="D54" s="19" t="s">
        <v>10</v>
      </c>
    </row>
    <row r="55" spans="2:4" x14ac:dyDescent="0.3">
      <c r="B55" s="19" t="s">
        <v>12</v>
      </c>
      <c r="C55" s="19">
        <v>43840</v>
      </c>
      <c r="D55" s="19" t="s">
        <v>14</v>
      </c>
    </row>
    <row r="56" spans="2:4" x14ac:dyDescent="0.3">
      <c r="B56" s="19" t="s">
        <v>127</v>
      </c>
      <c r="C56" s="19">
        <v>43840</v>
      </c>
      <c r="D56" s="19" t="s">
        <v>14</v>
      </c>
    </row>
    <row r="57" spans="2:4" x14ac:dyDescent="0.3">
      <c r="B57" s="19" t="s">
        <v>85</v>
      </c>
      <c r="C57" s="19">
        <v>41980</v>
      </c>
      <c r="D57" s="19" t="s">
        <v>10</v>
      </c>
    </row>
    <row r="58" spans="2:4" x14ac:dyDescent="0.3">
      <c r="B58" s="19" t="s">
        <v>131</v>
      </c>
      <c r="C58" s="19">
        <v>41980</v>
      </c>
      <c r="D58" s="19" t="s">
        <v>10</v>
      </c>
    </row>
    <row r="59" spans="2:4" x14ac:dyDescent="0.3">
      <c r="B59" s="19" t="s">
        <v>100</v>
      </c>
      <c r="C59" s="19">
        <v>34980</v>
      </c>
      <c r="D59" s="19" t="s">
        <v>10</v>
      </c>
    </row>
    <row r="60" spans="2:4" x14ac:dyDescent="0.3">
      <c r="B60" s="19" t="s">
        <v>140</v>
      </c>
      <c r="C60" s="19">
        <v>34980</v>
      </c>
      <c r="D60" s="19" t="s">
        <v>10</v>
      </c>
    </row>
    <row r="61" spans="2:4" x14ac:dyDescent="0.3">
      <c r="B61" s="19" t="s">
        <v>62</v>
      </c>
      <c r="C61" s="19">
        <v>33920</v>
      </c>
      <c r="D61" s="19" t="s">
        <v>10</v>
      </c>
    </row>
    <row r="62" spans="2:4" x14ac:dyDescent="0.3">
      <c r="B62" s="19" t="s">
        <v>187</v>
      </c>
      <c r="C62" s="19">
        <v>33920</v>
      </c>
      <c r="D62" s="19" t="s">
        <v>10</v>
      </c>
    </row>
  </sheetData>
  <mergeCells count="1">
    <mergeCell ref="B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0"/>
  <sheetViews>
    <sheetView topLeftCell="A4" workbookViewId="0">
      <selection activeCell="K12" sqref="K12"/>
    </sheetView>
  </sheetViews>
  <sheetFormatPr defaultRowHeight="14.4" x14ac:dyDescent="0.3"/>
  <cols>
    <col min="1" max="1" width="16" customWidth="1"/>
    <col min="2" max="2" width="15.5546875" bestFit="1" customWidth="1"/>
    <col min="3" max="3" width="7.44140625" customWidth="1"/>
    <col min="4" max="5" width="10.77734375" customWidth="1"/>
    <col min="6" max="6" width="15.5546875" bestFit="1" customWidth="1"/>
    <col min="7" max="7" width="8.88671875" customWidth="1"/>
    <col min="8" max="8" width="6" customWidth="1"/>
    <col min="9" max="9" width="13.109375" bestFit="1" customWidth="1"/>
    <col min="10" max="10" width="12.6640625" customWidth="1"/>
    <col min="11" max="11" width="13" customWidth="1"/>
    <col min="13" max="13" width="9.6640625" customWidth="1"/>
  </cols>
  <sheetData>
    <row r="1" spans="1:11" x14ac:dyDescent="0.3">
      <c r="G1" s="54" t="s">
        <v>227</v>
      </c>
      <c r="H1" s="54"/>
      <c r="I1" s="54"/>
    </row>
    <row r="3" spans="1:11" x14ac:dyDescent="0.3">
      <c r="B3" s="24" t="s">
        <v>228</v>
      </c>
    </row>
    <row r="4" spans="1:11" x14ac:dyDescent="0.3">
      <c r="A4" s="24" t="s">
        <v>230</v>
      </c>
      <c r="B4" t="s">
        <v>13</v>
      </c>
      <c r="C4" t="s">
        <v>9</v>
      </c>
    </row>
    <row r="5" spans="1:11" x14ac:dyDescent="0.3">
      <c r="A5" s="25" t="s">
        <v>229</v>
      </c>
      <c r="B5" s="5">
        <v>86</v>
      </c>
      <c r="C5" s="5">
        <v>89</v>
      </c>
    </row>
    <row r="6" spans="1:11" x14ac:dyDescent="0.3">
      <c r="A6" s="25" t="s">
        <v>231</v>
      </c>
      <c r="B6" s="26">
        <v>31.406976744186046</v>
      </c>
      <c r="C6" s="26">
        <v>29.393258426966291</v>
      </c>
    </row>
    <row r="7" spans="1:11" x14ac:dyDescent="0.3">
      <c r="A7" s="25" t="s">
        <v>232</v>
      </c>
      <c r="B7" s="27">
        <v>78284.186046511633</v>
      </c>
      <c r="C7" s="27">
        <v>74915.168539325838</v>
      </c>
    </row>
    <row r="8" spans="1:11" x14ac:dyDescent="0.3">
      <c r="A8" s="25" t="s">
        <v>233</v>
      </c>
      <c r="B8" s="26">
        <v>4.4298821280662626</v>
      </c>
      <c r="C8" s="26">
        <v>4.4207788209943049</v>
      </c>
    </row>
    <row r="16" spans="1:11" x14ac:dyDescent="0.3">
      <c r="I16" s="50" t="s">
        <v>235</v>
      </c>
      <c r="J16" s="50"/>
      <c r="K16" s="50"/>
    </row>
    <row r="17" spans="6:15" x14ac:dyDescent="0.3">
      <c r="F17" t="s">
        <v>1</v>
      </c>
      <c r="G17" t="s">
        <v>2</v>
      </c>
      <c r="H17" t="s">
        <v>3</v>
      </c>
      <c r="I17" t="s">
        <v>4</v>
      </c>
      <c r="J17" t="s">
        <v>5</v>
      </c>
      <c r="K17" t="s">
        <v>6</v>
      </c>
      <c r="L17" t="s">
        <v>7</v>
      </c>
      <c r="M17" t="s">
        <v>205</v>
      </c>
      <c r="N17" t="s">
        <v>222</v>
      </c>
      <c r="O17" t="s">
        <v>234</v>
      </c>
    </row>
    <row r="18" spans="6:15" x14ac:dyDescent="0.3">
      <c r="F18" t="s">
        <v>8</v>
      </c>
      <c r="G18" t="s">
        <v>9</v>
      </c>
      <c r="H18">
        <v>20</v>
      </c>
      <c r="I18" t="s">
        <v>10</v>
      </c>
      <c r="J18" s="6">
        <v>44122</v>
      </c>
      <c r="K18" t="s">
        <v>11</v>
      </c>
      <c r="L18" s="27">
        <v>112650</v>
      </c>
      <c r="M18" t="s">
        <v>206</v>
      </c>
      <c r="N18" s="9">
        <f ca="1">(TODAY()-Table4[[#This Row],[Date Joined]])/365</f>
        <v>5.2821917808219174</v>
      </c>
      <c r="O18" s="27">
        <f ca="1">IF(Table4[[#This Row],[Tenure]]&gt;3,3%,2%)*Table4[[#This Row],[Salary]]</f>
        <v>3379.5</v>
      </c>
    </row>
    <row r="19" spans="6:15" x14ac:dyDescent="0.3">
      <c r="F19" t="s">
        <v>12</v>
      </c>
      <c r="G19" t="s">
        <v>13</v>
      </c>
      <c r="H19">
        <v>32</v>
      </c>
      <c r="I19" t="s">
        <v>14</v>
      </c>
      <c r="J19" s="6">
        <v>44293</v>
      </c>
      <c r="K19" t="s">
        <v>11</v>
      </c>
      <c r="L19" s="27">
        <v>43840</v>
      </c>
      <c r="M19" t="s">
        <v>206</v>
      </c>
      <c r="N19" s="9">
        <f ca="1">(TODAY()-Table4[[#This Row],[Date Joined]])/365</f>
        <v>4.8136986301369866</v>
      </c>
      <c r="O19" s="27">
        <f ca="1">IF(Table4[[#This Row],[Tenure]]&gt;3,3%,2%)*Table4[[#This Row],[Salary]]</f>
        <v>1315.2</v>
      </c>
    </row>
    <row r="20" spans="6:15" x14ac:dyDescent="0.3">
      <c r="F20" t="s">
        <v>15</v>
      </c>
      <c r="G20" t="s">
        <v>9</v>
      </c>
      <c r="H20">
        <v>31</v>
      </c>
      <c r="I20" t="s">
        <v>10</v>
      </c>
      <c r="J20" s="6">
        <v>44663</v>
      </c>
      <c r="K20" t="s">
        <v>16</v>
      </c>
      <c r="L20" s="27">
        <v>103550</v>
      </c>
      <c r="M20" t="s">
        <v>206</v>
      </c>
      <c r="N20" s="9">
        <f ca="1">(TODAY()-Table4[[#This Row],[Date Joined]])/365</f>
        <v>3.8</v>
      </c>
      <c r="O20" s="27">
        <f ca="1">IF(Table4[[#This Row],[Tenure]]&gt;3,3%,2%)*Table4[[#This Row],[Salary]]</f>
        <v>3106.5</v>
      </c>
    </row>
    <row r="21" spans="6:15" x14ac:dyDescent="0.3">
      <c r="F21" t="s">
        <v>17</v>
      </c>
      <c r="G21" t="s">
        <v>13</v>
      </c>
      <c r="H21">
        <v>32</v>
      </c>
      <c r="I21" t="s">
        <v>10</v>
      </c>
      <c r="J21" s="6">
        <v>44339</v>
      </c>
      <c r="K21" t="s">
        <v>18</v>
      </c>
      <c r="L21" s="27">
        <v>45510</v>
      </c>
      <c r="M21" t="s">
        <v>206</v>
      </c>
      <c r="N21" s="9">
        <f ca="1">(TODAY()-Table4[[#This Row],[Date Joined]])/365</f>
        <v>4.6876712328767125</v>
      </c>
      <c r="O21" s="27">
        <f ca="1">IF(Table4[[#This Row],[Tenure]]&gt;3,3%,2%)*Table4[[#This Row],[Salary]]</f>
        <v>1365.3</v>
      </c>
    </row>
    <row r="22" spans="6:15" x14ac:dyDescent="0.3">
      <c r="F22" t="s">
        <v>19</v>
      </c>
      <c r="G22" t="s">
        <v>207</v>
      </c>
      <c r="H22">
        <v>37</v>
      </c>
      <c r="I22" t="s">
        <v>20</v>
      </c>
      <c r="J22" s="6">
        <v>44085</v>
      </c>
      <c r="K22" t="s">
        <v>21</v>
      </c>
      <c r="L22" s="27">
        <v>115440</v>
      </c>
      <c r="M22" t="s">
        <v>206</v>
      </c>
      <c r="N22" s="9">
        <f ca="1">(TODAY()-Table4[[#This Row],[Date Joined]])/365</f>
        <v>5.3835616438356162</v>
      </c>
      <c r="O22" s="27">
        <f ca="1">IF(Table4[[#This Row],[Tenure]]&gt;3,3%,2%)*Table4[[#This Row],[Salary]]</f>
        <v>3463.2</v>
      </c>
    </row>
    <row r="23" spans="6:15" x14ac:dyDescent="0.3">
      <c r="F23" t="s">
        <v>22</v>
      </c>
      <c r="G23" t="s">
        <v>13</v>
      </c>
      <c r="H23">
        <v>38</v>
      </c>
      <c r="I23" t="s">
        <v>14</v>
      </c>
      <c r="J23" s="6">
        <v>44268</v>
      </c>
      <c r="K23" t="s">
        <v>23</v>
      </c>
      <c r="L23" s="27">
        <v>56870</v>
      </c>
      <c r="M23" t="s">
        <v>206</v>
      </c>
      <c r="N23" s="9">
        <f ca="1">(TODAY()-Table4[[#This Row],[Date Joined]])/365</f>
        <v>4.882191780821918</v>
      </c>
      <c r="O23" s="27">
        <f ca="1">IF(Table4[[#This Row],[Tenure]]&gt;3,3%,2%)*Table4[[#This Row],[Salary]]</f>
        <v>1706.1</v>
      </c>
    </row>
    <row r="24" spans="6:15" x14ac:dyDescent="0.3">
      <c r="F24" t="s">
        <v>24</v>
      </c>
      <c r="G24" t="s">
        <v>13</v>
      </c>
      <c r="H24">
        <v>25</v>
      </c>
      <c r="I24" t="s">
        <v>10</v>
      </c>
      <c r="J24" s="6">
        <v>44144</v>
      </c>
      <c r="K24" t="s">
        <v>23</v>
      </c>
      <c r="L24" s="27">
        <v>92700</v>
      </c>
      <c r="M24" t="s">
        <v>206</v>
      </c>
      <c r="N24" s="9">
        <f ca="1">(TODAY()-Table4[[#This Row],[Date Joined]])/365</f>
        <v>5.2219178082191782</v>
      </c>
      <c r="O24" s="27">
        <f ca="1">IF(Table4[[#This Row],[Tenure]]&gt;3,3%,2%)*Table4[[#This Row],[Salary]]</f>
        <v>2781</v>
      </c>
    </row>
    <row r="25" spans="6:15" x14ac:dyDescent="0.3">
      <c r="F25" t="s">
        <v>25</v>
      </c>
      <c r="G25" t="s">
        <v>207</v>
      </c>
      <c r="H25">
        <v>32</v>
      </c>
      <c r="I25" t="s">
        <v>10</v>
      </c>
      <c r="J25" s="6">
        <v>44713</v>
      </c>
      <c r="K25" t="s">
        <v>11</v>
      </c>
      <c r="L25" s="27">
        <v>91310</v>
      </c>
      <c r="M25" t="s">
        <v>206</v>
      </c>
      <c r="N25" s="9">
        <f ca="1">(TODAY()-Table4[[#This Row],[Date Joined]])/365</f>
        <v>3.6630136986301371</v>
      </c>
      <c r="O25" s="27">
        <f ca="1">IF(Table4[[#This Row],[Tenure]]&gt;3,3%,2%)*Table4[[#This Row],[Salary]]</f>
        <v>2739.2999999999997</v>
      </c>
    </row>
    <row r="26" spans="6:15" x14ac:dyDescent="0.3">
      <c r="F26" t="s">
        <v>26</v>
      </c>
      <c r="G26" t="s">
        <v>9</v>
      </c>
      <c r="H26">
        <v>33</v>
      </c>
      <c r="I26" t="s">
        <v>10</v>
      </c>
      <c r="J26" s="6">
        <v>44324</v>
      </c>
      <c r="K26" t="s">
        <v>23</v>
      </c>
      <c r="L26" s="27">
        <v>74550</v>
      </c>
      <c r="M26" t="s">
        <v>206</v>
      </c>
      <c r="N26" s="9">
        <f ca="1">(TODAY()-Table4[[#This Row],[Date Joined]])/365</f>
        <v>4.7287671232876711</v>
      </c>
      <c r="O26" s="27">
        <f ca="1">IF(Table4[[#This Row],[Tenure]]&gt;3,3%,2%)*Table4[[#This Row],[Salary]]</f>
        <v>2236.5</v>
      </c>
    </row>
    <row r="27" spans="6:15" x14ac:dyDescent="0.3">
      <c r="F27" t="s">
        <v>27</v>
      </c>
      <c r="G27" t="s">
        <v>9</v>
      </c>
      <c r="H27">
        <v>25</v>
      </c>
      <c r="I27" t="s">
        <v>14</v>
      </c>
      <c r="J27" s="6">
        <v>44665</v>
      </c>
      <c r="K27" t="s">
        <v>16</v>
      </c>
      <c r="L27" s="27">
        <v>109190</v>
      </c>
      <c r="M27" t="s">
        <v>206</v>
      </c>
      <c r="N27" s="9">
        <f ca="1">(TODAY()-Table4[[#This Row],[Date Joined]])/365</f>
        <v>3.7945205479452055</v>
      </c>
      <c r="O27" s="27">
        <f ca="1">IF(Table4[[#This Row],[Tenure]]&gt;3,3%,2%)*Table4[[#This Row],[Salary]]</f>
        <v>3275.7</v>
      </c>
    </row>
    <row r="28" spans="6:15" x14ac:dyDescent="0.3">
      <c r="F28" t="s">
        <v>28</v>
      </c>
      <c r="G28" t="s">
        <v>13</v>
      </c>
      <c r="H28">
        <v>40</v>
      </c>
      <c r="I28" t="s">
        <v>10</v>
      </c>
      <c r="J28" s="6">
        <v>44320</v>
      </c>
      <c r="K28" t="s">
        <v>11</v>
      </c>
      <c r="L28" s="27">
        <v>104410</v>
      </c>
      <c r="M28" t="s">
        <v>206</v>
      </c>
      <c r="N28" s="9">
        <f ca="1">(TODAY()-Table4[[#This Row],[Date Joined]])/365</f>
        <v>4.7397260273972606</v>
      </c>
      <c r="O28" s="27">
        <f ca="1">IF(Table4[[#This Row],[Tenure]]&gt;3,3%,2%)*Table4[[#This Row],[Salary]]</f>
        <v>3132.2999999999997</v>
      </c>
    </row>
    <row r="29" spans="6:15" x14ac:dyDescent="0.3">
      <c r="F29" t="s">
        <v>29</v>
      </c>
      <c r="G29" t="s">
        <v>9</v>
      </c>
      <c r="H29">
        <v>30</v>
      </c>
      <c r="I29" t="s">
        <v>10</v>
      </c>
      <c r="J29" s="6">
        <v>44544</v>
      </c>
      <c r="K29" t="s">
        <v>21</v>
      </c>
      <c r="L29" s="27">
        <v>96800</v>
      </c>
      <c r="M29" t="s">
        <v>206</v>
      </c>
      <c r="N29" s="9">
        <f ca="1">(TODAY()-Table4[[#This Row],[Date Joined]])/365</f>
        <v>4.1260273972602741</v>
      </c>
      <c r="O29" s="27">
        <f ca="1">IF(Table4[[#This Row],[Tenure]]&gt;3,3%,2%)*Table4[[#This Row],[Salary]]</f>
        <v>2904</v>
      </c>
    </row>
    <row r="30" spans="6:15" x14ac:dyDescent="0.3">
      <c r="F30" t="s">
        <v>30</v>
      </c>
      <c r="G30" t="s">
        <v>9</v>
      </c>
      <c r="H30">
        <v>28</v>
      </c>
      <c r="I30" t="s">
        <v>14</v>
      </c>
      <c r="J30" s="6">
        <v>43980</v>
      </c>
      <c r="K30" t="s">
        <v>21</v>
      </c>
      <c r="L30" s="27">
        <v>48170</v>
      </c>
      <c r="M30" t="s">
        <v>206</v>
      </c>
      <c r="N30" s="9">
        <f ca="1">(TODAY()-Table4[[#This Row],[Date Joined]])/365</f>
        <v>5.6712328767123283</v>
      </c>
      <c r="O30" s="27">
        <f ca="1">IF(Table4[[#This Row],[Tenure]]&gt;3,3%,2%)*Table4[[#This Row],[Salary]]</f>
        <v>1445.1</v>
      </c>
    </row>
    <row r="31" spans="6:15" x14ac:dyDescent="0.3">
      <c r="F31" t="s">
        <v>31</v>
      </c>
      <c r="G31" t="s">
        <v>9</v>
      </c>
      <c r="H31">
        <v>21</v>
      </c>
      <c r="I31" t="s">
        <v>10</v>
      </c>
      <c r="J31" s="6">
        <v>44042</v>
      </c>
      <c r="K31" t="s">
        <v>16</v>
      </c>
      <c r="L31" s="27">
        <v>37920</v>
      </c>
      <c r="M31" t="s">
        <v>206</v>
      </c>
      <c r="N31" s="9">
        <f ca="1">(TODAY()-Table4[[#This Row],[Date Joined]])/365</f>
        <v>5.5013698630136982</v>
      </c>
      <c r="O31" s="27">
        <f ca="1">IF(Table4[[#This Row],[Tenure]]&gt;3,3%,2%)*Table4[[#This Row],[Salary]]</f>
        <v>1137.5999999999999</v>
      </c>
    </row>
    <row r="32" spans="6:15" x14ac:dyDescent="0.3">
      <c r="F32" t="s">
        <v>32</v>
      </c>
      <c r="G32" t="s">
        <v>9</v>
      </c>
      <c r="H32">
        <v>34</v>
      </c>
      <c r="I32" t="s">
        <v>10</v>
      </c>
      <c r="J32" s="6">
        <v>44642</v>
      </c>
      <c r="K32" t="s">
        <v>16</v>
      </c>
      <c r="L32" s="27">
        <v>112650</v>
      </c>
      <c r="M32" t="s">
        <v>206</v>
      </c>
      <c r="N32" s="9">
        <f ca="1">(TODAY()-Table4[[#This Row],[Date Joined]])/365</f>
        <v>3.8575342465753426</v>
      </c>
      <c r="O32" s="27">
        <f ca="1">IF(Table4[[#This Row],[Tenure]]&gt;3,3%,2%)*Table4[[#This Row],[Salary]]</f>
        <v>3379.5</v>
      </c>
    </row>
    <row r="33" spans="6:15" x14ac:dyDescent="0.3">
      <c r="F33" t="s">
        <v>33</v>
      </c>
      <c r="G33" t="s">
        <v>13</v>
      </c>
      <c r="H33">
        <v>34</v>
      </c>
      <c r="I33" t="s">
        <v>20</v>
      </c>
      <c r="J33" s="6">
        <v>44660</v>
      </c>
      <c r="K33" t="s">
        <v>23</v>
      </c>
      <c r="L33" s="27">
        <v>49630</v>
      </c>
      <c r="M33" t="s">
        <v>206</v>
      </c>
      <c r="N33" s="9">
        <f ca="1">(TODAY()-Table4[[#This Row],[Date Joined]])/365</f>
        <v>3.8082191780821919</v>
      </c>
      <c r="O33" s="27">
        <f ca="1">IF(Table4[[#This Row],[Tenure]]&gt;3,3%,2%)*Table4[[#This Row],[Salary]]</f>
        <v>1488.8999999999999</v>
      </c>
    </row>
    <row r="34" spans="6:15" x14ac:dyDescent="0.3">
      <c r="F34" t="s">
        <v>34</v>
      </c>
      <c r="G34" t="s">
        <v>9</v>
      </c>
      <c r="H34">
        <v>36</v>
      </c>
      <c r="I34" t="s">
        <v>10</v>
      </c>
      <c r="J34" s="6">
        <v>43958</v>
      </c>
      <c r="K34" t="s">
        <v>11</v>
      </c>
      <c r="L34" s="27">
        <v>118840</v>
      </c>
      <c r="M34" t="s">
        <v>206</v>
      </c>
      <c r="N34" s="9">
        <f ca="1">(TODAY()-Table4[[#This Row],[Date Joined]])/365</f>
        <v>5.7315068493150685</v>
      </c>
      <c r="O34" s="27">
        <f ca="1">IF(Table4[[#This Row],[Tenure]]&gt;3,3%,2%)*Table4[[#This Row],[Salary]]</f>
        <v>3565.2</v>
      </c>
    </row>
    <row r="35" spans="6:15" x14ac:dyDescent="0.3">
      <c r="F35" t="s">
        <v>35</v>
      </c>
      <c r="G35" t="s">
        <v>9</v>
      </c>
      <c r="H35">
        <v>30</v>
      </c>
      <c r="I35" t="s">
        <v>10</v>
      </c>
      <c r="J35" s="6">
        <v>44789</v>
      </c>
      <c r="K35" t="s">
        <v>11</v>
      </c>
      <c r="L35" s="27">
        <v>69710</v>
      </c>
      <c r="M35" t="s">
        <v>206</v>
      </c>
      <c r="N35" s="9">
        <f ca="1">(TODAY()-Table4[[#This Row],[Date Joined]])/365</f>
        <v>3.4547945205479453</v>
      </c>
      <c r="O35" s="27">
        <f ca="1">IF(Table4[[#This Row],[Tenure]]&gt;3,3%,2%)*Table4[[#This Row],[Salary]]</f>
        <v>2091.2999999999997</v>
      </c>
    </row>
    <row r="36" spans="6:15" x14ac:dyDescent="0.3">
      <c r="F36" t="s">
        <v>36</v>
      </c>
      <c r="G36" t="s">
        <v>9</v>
      </c>
      <c r="H36">
        <v>20</v>
      </c>
      <c r="I36" t="s">
        <v>10</v>
      </c>
      <c r="J36" s="6">
        <v>44683</v>
      </c>
      <c r="K36" t="s">
        <v>16</v>
      </c>
      <c r="L36" s="27">
        <v>79570</v>
      </c>
      <c r="M36" t="s">
        <v>206</v>
      </c>
      <c r="N36" s="9">
        <f ca="1">(TODAY()-Table4[[#This Row],[Date Joined]])/365</f>
        <v>3.7452054794520548</v>
      </c>
      <c r="O36" s="27">
        <f ca="1">IF(Table4[[#This Row],[Tenure]]&gt;3,3%,2%)*Table4[[#This Row],[Salary]]</f>
        <v>2387.1</v>
      </c>
    </row>
    <row r="37" spans="6:15" x14ac:dyDescent="0.3">
      <c r="F37" t="s">
        <v>37</v>
      </c>
      <c r="G37" t="s">
        <v>13</v>
      </c>
      <c r="H37">
        <v>22</v>
      </c>
      <c r="I37" t="s">
        <v>14</v>
      </c>
      <c r="J37" s="6">
        <v>44388</v>
      </c>
      <c r="K37" t="s">
        <v>16</v>
      </c>
      <c r="L37" s="27">
        <v>76900</v>
      </c>
      <c r="M37" t="s">
        <v>206</v>
      </c>
      <c r="N37" s="9">
        <f ca="1">(TODAY()-Table4[[#This Row],[Date Joined]])/365</f>
        <v>4.5534246575342463</v>
      </c>
      <c r="O37" s="27">
        <f ca="1">IF(Table4[[#This Row],[Tenure]]&gt;3,3%,2%)*Table4[[#This Row],[Salary]]</f>
        <v>2307</v>
      </c>
    </row>
    <row r="38" spans="6:15" x14ac:dyDescent="0.3">
      <c r="F38" t="s">
        <v>38</v>
      </c>
      <c r="G38" t="s">
        <v>9</v>
      </c>
      <c r="H38">
        <v>27</v>
      </c>
      <c r="I38" t="s">
        <v>10</v>
      </c>
      <c r="J38" s="6">
        <v>44073</v>
      </c>
      <c r="K38" t="s">
        <v>23</v>
      </c>
      <c r="L38" s="27">
        <v>54970</v>
      </c>
      <c r="M38" t="s">
        <v>206</v>
      </c>
      <c r="N38" s="9">
        <f ca="1">(TODAY()-Table4[[#This Row],[Date Joined]])/365</f>
        <v>5.4164383561643836</v>
      </c>
      <c r="O38" s="27">
        <f ca="1">IF(Table4[[#This Row],[Tenure]]&gt;3,3%,2%)*Table4[[#This Row],[Salary]]</f>
        <v>1649.1</v>
      </c>
    </row>
    <row r="39" spans="6:15" x14ac:dyDescent="0.3">
      <c r="F39" t="s">
        <v>39</v>
      </c>
      <c r="G39" t="s">
        <v>9</v>
      </c>
      <c r="H39">
        <v>37</v>
      </c>
      <c r="I39" t="s">
        <v>20</v>
      </c>
      <c r="J39" s="6">
        <v>44277</v>
      </c>
      <c r="K39" t="s">
        <v>11</v>
      </c>
      <c r="L39" s="27">
        <v>88050</v>
      </c>
      <c r="M39" t="s">
        <v>206</v>
      </c>
      <c r="N39" s="9">
        <f ca="1">(TODAY()-Table4[[#This Row],[Date Joined]])/365</f>
        <v>4.8575342465753426</v>
      </c>
      <c r="O39" s="27">
        <f ca="1">IF(Table4[[#This Row],[Tenure]]&gt;3,3%,2%)*Table4[[#This Row],[Salary]]</f>
        <v>2641.5</v>
      </c>
    </row>
    <row r="40" spans="6:15" x14ac:dyDescent="0.3">
      <c r="F40" t="s">
        <v>40</v>
      </c>
      <c r="G40" t="s">
        <v>9</v>
      </c>
      <c r="H40">
        <v>43</v>
      </c>
      <c r="I40" t="s">
        <v>10</v>
      </c>
      <c r="J40" s="6">
        <v>44558</v>
      </c>
      <c r="K40" t="s">
        <v>23</v>
      </c>
      <c r="L40" s="27">
        <v>36040</v>
      </c>
      <c r="M40" t="s">
        <v>206</v>
      </c>
      <c r="N40" s="9">
        <f ca="1">(TODAY()-Table4[[#This Row],[Date Joined]])/365</f>
        <v>4.087671232876712</v>
      </c>
      <c r="O40" s="27">
        <f ca="1">IF(Table4[[#This Row],[Tenure]]&gt;3,3%,2%)*Table4[[#This Row],[Salary]]</f>
        <v>1081.2</v>
      </c>
    </row>
    <row r="41" spans="6:15" x14ac:dyDescent="0.3">
      <c r="F41" t="s">
        <v>41</v>
      </c>
      <c r="G41" t="s">
        <v>13</v>
      </c>
      <c r="H41">
        <v>42</v>
      </c>
      <c r="I41" t="s">
        <v>42</v>
      </c>
      <c r="J41" s="6">
        <v>44718</v>
      </c>
      <c r="K41" t="s">
        <v>16</v>
      </c>
      <c r="L41" s="27">
        <v>75000</v>
      </c>
      <c r="M41" t="s">
        <v>206</v>
      </c>
      <c r="N41" s="9">
        <f ca="1">(TODAY()-Table4[[#This Row],[Date Joined]])/365</f>
        <v>3.6493150684931508</v>
      </c>
      <c r="O41" s="27">
        <f ca="1">IF(Table4[[#This Row],[Tenure]]&gt;3,3%,2%)*Table4[[#This Row],[Salary]]</f>
        <v>2250</v>
      </c>
    </row>
    <row r="42" spans="6:15" x14ac:dyDescent="0.3">
      <c r="F42" t="s">
        <v>43</v>
      </c>
      <c r="G42" t="s">
        <v>9</v>
      </c>
      <c r="H42">
        <v>35</v>
      </c>
      <c r="I42" t="s">
        <v>10</v>
      </c>
      <c r="J42" s="6">
        <v>44666</v>
      </c>
      <c r="K42" t="s">
        <v>16</v>
      </c>
      <c r="L42" s="27">
        <v>40400</v>
      </c>
      <c r="M42" t="s">
        <v>206</v>
      </c>
      <c r="N42" s="9">
        <f ca="1">(TODAY()-Table4[[#This Row],[Date Joined]])/365</f>
        <v>3.7917808219178082</v>
      </c>
      <c r="O42" s="27">
        <f ca="1">IF(Table4[[#This Row],[Tenure]]&gt;3,3%,2%)*Table4[[#This Row],[Salary]]</f>
        <v>1212</v>
      </c>
    </row>
    <row r="43" spans="6:15" x14ac:dyDescent="0.3">
      <c r="F43" t="s">
        <v>44</v>
      </c>
      <c r="G43" t="s">
        <v>9</v>
      </c>
      <c r="H43">
        <v>24</v>
      </c>
      <c r="I43" t="s">
        <v>10</v>
      </c>
      <c r="J43" s="6">
        <v>44625</v>
      </c>
      <c r="K43" t="s">
        <v>11</v>
      </c>
      <c r="L43" s="27">
        <v>100420</v>
      </c>
      <c r="M43" t="s">
        <v>206</v>
      </c>
      <c r="N43" s="9">
        <f ca="1">(TODAY()-Table4[[#This Row],[Date Joined]])/365</f>
        <v>3.904109589041096</v>
      </c>
      <c r="O43" s="27">
        <f ca="1">IF(Table4[[#This Row],[Tenure]]&gt;3,3%,2%)*Table4[[#This Row],[Salary]]</f>
        <v>3012.6</v>
      </c>
    </row>
    <row r="44" spans="6:15" x14ac:dyDescent="0.3">
      <c r="F44" t="s">
        <v>45</v>
      </c>
      <c r="G44" t="s">
        <v>13</v>
      </c>
      <c r="H44">
        <v>31</v>
      </c>
      <c r="I44" t="s">
        <v>10</v>
      </c>
      <c r="J44" s="6">
        <v>44604</v>
      </c>
      <c r="K44" t="s">
        <v>11</v>
      </c>
      <c r="L44" s="27">
        <v>58100</v>
      </c>
      <c r="M44" t="s">
        <v>206</v>
      </c>
      <c r="N44" s="9">
        <f ca="1">(TODAY()-Table4[[#This Row],[Date Joined]])/365</f>
        <v>3.9616438356164383</v>
      </c>
      <c r="O44" s="27">
        <f ca="1">IF(Table4[[#This Row],[Tenure]]&gt;3,3%,2%)*Table4[[#This Row],[Salary]]</f>
        <v>1743</v>
      </c>
    </row>
    <row r="45" spans="6:15" x14ac:dyDescent="0.3">
      <c r="F45" t="s">
        <v>46</v>
      </c>
      <c r="G45" t="s">
        <v>13</v>
      </c>
      <c r="H45">
        <v>44</v>
      </c>
      <c r="I45" t="s">
        <v>10</v>
      </c>
      <c r="J45" s="6">
        <v>44985</v>
      </c>
      <c r="K45" t="s">
        <v>11</v>
      </c>
      <c r="L45" s="27">
        <v>114870</v>
      </c>
      <c r="M45" t="s">
        <v>206</v>
      </c>
      <c r="N45" s="9">
        <f ca="1">(TODAY()-Table4[[#This Row],[Date Joined]])/365</f>
        <v>2.9178082191780823</v>
      </c>
      <c r="O45" s="27">
        <f ca="1">IF(Table4[[#This Row],[Tenure]]&gt;3,3%,2%)*Table4[[#This Row],[Salary]]</f>
        <v>2297.4</v>
      </c>
    </row>
    <row r="46" spans="6:15" x14ac:dyDescent="0.3">
      <c r="F46" t="s">
        <v>47</v>
      </c>
      <c r="G46" t="s">
        <v>13</v>
      </c>
      <c r="H46">
        <v>32</v>
      </c>
      <c r="I46" t="s">
        <v>10</v>
      </c>
      <c r="J46" s="6">
        <v>44549</v>
      </c>
      <c r="K46" t="s">
        <v>16</v>
      </c>
      <c r="L46" s="27">
        <v>41570</v>
      </c>
      <c r="M46" t="s">
        <v>206</v>
      </c>
      <c r="N46" s="9">
        <f ca="1">(TODAY()-Table4[[#This Row],[Date Joined]])/365</f>
        <v>4.1123287671232873</v>
      </c>
      <c r="O46" s="27">
        <f ca="1">IF(Table4[[#This Row],[Tenure]]&gt;3,3%,2%)*Table4[[#This Row],[Salary]]</f>
        <v>1247.0999999999999</v>
      </c>
    </row>
    <row r="47" spans="6:15" x14ac:dyDescent="0.3">
      <c r="F47" t="s">
        <v>48</v>
      </c>
      <c r="G47" t="s">
        <v>13</v>
      </c>
      <c r="H47">
        <v>30</v>
      </c>
      <c r="I47" t="s">
        <v>10</v>
      </c>
      <c r="J47" s="6">
        <v>44800</v>
      </c>
      <c r="K47" t="s">
        <v>16</v>
      </c>
      <c r="L47" s="27">
        <v>112570</v>
      </c>
      <c r="M47" t="s">
        <v>206</v>
      </c>
      <c r="N47" s="9">
        <f ca="1">(TODAY()-Table4[[#This Row],[Date Joined]])/365</f>
        <v>3.4246575342465753</v>
      </c>
      <c r="O47" s="27">
        <f ca="1">IF(Table4[[#This Row],[Tenure]]&gt;3,3%,2%)*Table4[[#This Row],[Salary]]</f>
        <v>3377.1</v>
      </c>
    </row>
    <row r="48" spans="6:15" x14ac:dyDescent="0.3">
      <c r="F48" t="s">
        <v>49</v>
      </c>
      <c r="G48" t="s">
        <v>9</v>
      </c>
      <c r="H48">
        <v>26</v>
      </c>
      <c r="I48" t="s">
        <v>10</v>
      </c>
      <c r="J48" s="6">
        <v>44164</v>
      </c>
      <c r="K48" t="s">
        <v>16</v>
      </c>
      <c r="L48" s="27">
        <v>47360</v>
      </c>
      <c r="M48" t="s">
        <v>206</v>
      </c>
      <c r="N48" s="9">
        <f ca="1">(TODAY()-Table4[[#This Row],[Date Joined]])/365</f>
        <v>5.1671232876712327</v>
      </c>
      <c r="O48" s="27">
        <f ca="1">IF(Table4[[#This Row],[Tenure]]&gt;3,3%,2%)*Table4[[#This Row],[Salary]]</f>
        <v>1420.8</v>
      </c>
    </row>
    <row r="49" spans="6:15" x14ac:dyDescent="0.3">
      <c r="F49" t="s">
        <v>50</v>
      </c>
      <c r="G49" t="s">
        <v>13</v>
      </c>
      <c r="H49">
        <v>21</v>
      </c>
      <c r="I49" t="s">
        <v>10</v>
      </c>
      <c r="J49" s="6">
        <v>44256</v>
      </c>
      <c r="K49" t="s">
        <v>21</v>
      </c>
      <c r="L49" s="27">
        <v>65920</v>
      </c>
      <c r="M49" t="s">
        <v>206</v>
      </c>
      <c r="N49" s="9">
        <f ca="1">(TODAY()-Table4[[#This Row],[Date Joined]])/365</f>
        <v>4.9150684931506845</v>
      </c>
      <c r="O49" s="27">
        <f ca="1">IF(Table4[[#This Row],[Tenure]]&gt;3,3%,2%)*Table4[[#This Row],[Salary]]</f>
        <v>1977.6</v>
      </c>
    </row>
    <row r="50" spans="6:15" x14ac:dyDescent="0.3">
      <c r="F50" t="s">
        <v>51</v>
      </c>
      <c r="G50" t="s">
        <v>13</v>
      </c>
      <c r="H50">
        <v>28</v>
      </c>
      <c r="I50" t="s">
        <v>10</v>
      </c>
      <c r="J50" s="6">
        <v>44571</v>
      </c>
      <c r="K50" t="s">
        <v>16</v>
      </c>
      <c r="L50" s="27">
        <v>99970</v>
      </c>
      <c r="M50" t="s">
        <v>206</v>
      </c>
      <c r="N50" s="9">
        <f ca="1">(TODAY()-Table4[[#This Row],[Date Joined]])/365</f>
        <v>4.0520547945205481</v>
      </c>
      <c r="O50" s="27">
        <f ca="1">IF(Table4[[#This Row],[Tenure]]&gt;3,3%,2%)*Table4[[#This Row],[Salary]]</f>
        <v>2999.1</v>
      </c>
    </row>
    <row r="51" spans="6:15" x14ac:dyDescent="0.3">
      <c r="F51" t="s">
        <v>52</v>
      </c>
      <c r="G51" t="s">
        <v>13</v>
      </c>
      <c r="H51">
        <v>25</v>
      </c>
      <c r="I51" t="s">
        <v>14</v>
      </c>
      <c r="J51" s="6">
        <v>44633</v>
      </c>
      <c r="K51" t="s">
        <v>11</v>
      </c>
      <c r="L51" s="27">
        <v>80700</v>
      </c>
      <c r="M51" t="s">
        <v>206</v>
      </c>
      <c r="N51" s="9">
        <f ca="1">(TODAY()-Table4[[#This Row],[Date Joined]])/365</f>
        <v>3.882191780821918</v>
      </c>
      <c r="O51" s="27">
        <f ca="1">IF(Table4[[#This Row],[Tenure]]&gt;3,3%,2%)*Table4[[#This Row],[Salary]]</f>
        <v>2421</v>
      </c>
    </row>
    <row r="52" spans="6:15" x14ac:dyDescent="0.3">
      <c r="F52" t="s">
        <v>53</v>
      </c>
      <c r="G52" t="s">
        <v>9</v>
      </c>
      <c r="H52">
        <v>24</v>
      </c>
      <c r="I52" t="s">
        <v>20</v>
      </c>
      <c r="J52" s="6">
        <v>44375</v>
      </c>
      <c r="K52" t="s">
        <v>21</v>
      </c>
      <c r="L52" s="27">
        <v>52610</v>
      </c>
      <c r="M52" t="s">
        <v>206</v>
      </c>
      <c r="N52" s="9">
        <f ca="1">(TODAY()-Table4[[#This Row],[Date Joined]])/365</f>
        <v>4.5890410958904111</v>
      </c>
      <c r="O52" s="27">
        <f ca="1">IF(Table4[[#This Row],[Tenure]]&gt;3,3%,2%)*Table4[[#This Row],[Salary]]</f>
        <v>1578.3</v>
      </c>
    </row>
    <row r="53" spans="6:15" x14ac:dyDescent="0.3">
      <c r="F53" t="s">
        <v>54</v>
      </c>
      <c r="G53" t="s">
        <v>9</v>
      </c>
      <c r="H53">
        <v>29</v>
      </c>
      <c r="I53" t="s">
        <v>20</v>
      </c>
      <c r="J53" s="6">
        <v>44119</v>
      </c>
      <c r="K53" t="s">
        <v>11</v>
      </c>
      <c r="L53" s="27">
        <v>112110</v>
      </c>
      <c r="M53" t="s">
        <v>206</v>
      </c>
      <c r="N53" s="9">
        <f ca="1">(TODAY()-Table4[[#This Row],[Date Joined]])/365</f>
        <v>5.2904109589041095</v>
      </c>
      <c r="O53" s="27">
        <f ca="1">IF(Table4[[#This Row],[Tenure]]&gt;3,3%,2%)*Table4[[#This Row],[Salary]]</f>
        <v>3363.2999999999997</v>
      </c>
    </row>
    <row r="54" spans="6:15" x14ac:dyDescent="0.3">
      <c r="F54" t="s">
        <v>55</v>
      </c>
      <c r="G54" t="s">
        <v>13</v>
      </c>
      <c r="H54">
        <v>27</v>
      </c>
      <c r="I54" t="s">
        <v>10</v>
      </c>
      <c r="J54" s="6">
        <v>44061</v>
      </c>
      <c r="K54" t="s">
        <v>18</v>
      </c>
      <c r="L54" s="27">
        <v>119110</v>
      </c>
      <c r="M54" t="s">
        <v>206</v>
      </c>
      <c r="N54" s="9">
        <f ca="1">(TODAY()-Table4[[#This Row],[Date Joined]])/365</f>
        <v>5.4493150684931511</v>
      </c>
      <c r="O54" s="27">
        <f ca="1">IF(Table4[[#This Row],[Tenure]]&gt;3,3%,2%)*Table4[[#This Row],[Salary]]</f>
        <v>3573.2999999999997</v>
      </c>
    </row>
    <row r="55" spans="6:15" x14ac:dyDescent="0.3">
      <c r="F55" t="s">
        <v>56</v>
      </c>
      <c r="G55" t="s">
        <v>9</v>
      </c>
      <c r="H55">
        <v>22</v>
      </c>
      <c r="I55" t="s">
        <v>14</v>
      </c>
      <c r="J55" s="6">
        <v>44384</v>
      </c>
      <c r="K55" t="s">
        <v>23</v>
      </c>
      <c r="L55" s="27">
        <v>112780</v>
      </c>
      <c r="M55" t="s">
        <v>206</v>
      </c>
      <c r="N55" s="9">
        <f ca="1">(TODAY()-Table4[[#This Row],[Date Joined]])/365</f>
        <v>4.5643835616438357</v>
      </c>
      <c r="O55" s="27">
        <f ca="1">IF(Table4[[#This Row],[Tenure]]&gt;3,3%,2%)*Table4[[#This Row],[Salary]]</f>
        <v>3383.4</v>
      </c>
    </row>
    <row r="56" spans="6:15" x14ac:dyDescent="0.3">
      <c r="F56" t="s">
        <v>57</v>
      </c>
      <c r="G56" t="s">
        <v>13</v>
      </c>
      <c r="H56">
        <v>36</v>
      </c>
      <c r="I56" t="s">
        <v>10</v>
      </c>
      <c r="J56" s="6">
        <v>44023</v>
      </c>
      <c r="K56" t="s">
        <v>16</v>
      </c>
      <c r="L56" s="27">
        <v>114890</v>
      </c>
      <c r="M56" t="s">
        <v>206</v>
      </c>
      <c r="N56" s="9">
        <f ca="1">(TODAY()-Table4[[#This Row],[Date Joined]])/365</f>
        <v>5.5534246575342463</v>
      </c>
      <c r="O56" s="27">
        <f ca="1">IF(Table4[[#This Row],[Tenure]]&gt;3,3%,2%)*Table4[[#This Row],[Salary]]</f>
        <v>3446.7</v>
      </c>
    </row>
    <row r="57" spans="6:15" x14ac:dyDescent="0.3">
      <c r="F57" t="s">
        <v>58</v>
      </c>
      <c r="G57" t="s">
        <v>9</v>
      </c>
      <c r="H57">
        <v>27</v>
      </c>
      <c r="I57" t="s">
        <v>10</v>
      </c>
      <c r="J57" s="6">
        <v>44506</v>
      </c>
      <c r="K57" t="s">
        <v>21</v>
      </c>
      <c r="L57" s="27">
        <v>48980</v>
      </c>
      <c r="M57" t="s">
        <v>206</v>
      </c>
      <c r="N57" s="9">
        <f ca="1">(TODAY()-Table4[[#This Row],[Date Joined]])/365</f>
        <v>4.2301369863013702</v>
      </c>
      <c r="O57" s="27">
        <f ca="1">IF(Table4[[#This Row],[Tenure]]&gt;3,3%,2%)*Table4[[#This Row],[Salary]]</f>
        <v>1469.3999999999999</v>
      </c>
    </row>
    <row r="58" spans="6:15" x14ac:dyDescent="0.3">
      <c r="F58" t="s">
        <v>59</v>
      </c>
      <c r="G58" t="s">
        <v>9</v>
      </c>
      <c r="H58">
        <v>21</v>
      </c>
      <c r="I58" t="s">
        <v>10</v>
      </c>
      <c r="J58" s="6">
        <v>44180</v>
      </c>
      <c r="K58" t="s">
        <v>18</v>
      </c>
      <c r="L58" s="27">
        <v>75880</v>
      </c>
      <c r="M58" t="s">
        <v>206</v>
      </c>
      <c r="N58" s="9">
        <f ca="1">(TODAY()-Table4[[#This Row],[Date Joined]])/365</f>
        <v>5.1232876712328768</v>
      </c>
      <c r="O58" s="27">
        <f ca="1">IF(Table4[[#This Row],[Tenure]]&gt;3,3%,2%)*Table4[[#This Row],[Salary]]</f>
        <v>2276.4</v>
      </c>
    </row>
    <row r="59" spans="6:15" x14ac:dyDescent="0.3">
      <c r="F59" t="s">
        <v>60</v>
      </c>
      <c r="G59" t="s">
        <v>13</v>
      </c>
      <c r="H59">
        <v>28</v>
      </c>
      <c r="I59" t="s">
        <v>10</v>
      </c>
      <c r="J59" s="6">
        <v>44296</v>
      </c>
      <c r="K59" t="s">
        <v>23</v>
      </c>
      <c r="L59" s="27">
        <v>53240</v>
      </c>
      <c r="M59" t="s">
        <v>206</v>
      </c>
      <c r="N59" s="9">
        <f ca="1">(TODAY()-Table4[[#This Row],[Date Joined]])/365</f>
        <v>4.8054794520547945</v>
      </c>
      <c r="O59" s="27">
        <f ca="1">IF(Table4[[#This Row],[Tenure]]&gt;3,3%,2%)*Table4[[#This Row],[Salary]]</f>
        <v>1597.2</v>
      </c>
    </row>
    <row r="60" spans="6:15" x14ac:dyDescent="0.3">
      <c r="F60" t="s">
        <v>61</v>
      </c>
      <c r="G60" t="s">
        <v>13</v>
      </c>
      <c r="H60">
        <v>34</v>
      </c>
      <c r="I60" t="s">
        <v>10</v>
      </c>
      <c r="J60" s="6">
        <v>44397</v>
      </c>
      <c r="K60" t="s">
        <v>21</v>
      </c>
      <c r="L60" s="27">
        <v>85000</v>
      </c>
      <c r="M60" t="s">
        <v>206</v>
      </c>
      <c r="N60" s="9">
        <f ca="1">(TODAY()-Table4[[#This Row],[Date Joined]])/365</f>
        <v>4.5287671232876709</v>
      </c>
      <c r="O60" s="27">
        <f ca="1">IF(Table4[[#This Row],[Tenure]]&gt;3,3%,2%)*Table4[[#This Row],[Salary]]</f>
        <v>2550</v>
      </c>
    </row>
    <row r="61" spans="6:15" x14ac:dyDescent="0.3">
      <c r="F61" t="s">
        <v>62</v>
      </c>
      <c r="G61" t="s">
        <v>13</v>
      </c>
      <c r="H61">
        <v>21</v>
      </c>
      <c r="I61" t="s">
        <v>10</v>
      </c>
      <c r="J61" s="6">
        <v>44619</v>
      </c>
      <c r="K61" t="s">
        <v>11</v>
      </c>
      <c r="L61" s="27">
        <v>33920</v>
      </c>
      <c r="M61" t="s">
        <v>206</v>
      </c>
      <c r="N61" s="9">
        <f ca="1">(TODAY()-Table4[[#This Row],[Date Joined]])/365</f>
        <v>3.9205479452054797</v>
      </c>
      <c r="O61" s="27">
        <f ca="1">IF(Table4[[#This Row],[Tenure]]&gt;3,3%,2%)*Table4[[#This Row],[Salary]]</f>
        <v>1017.5999999999999</v>
      </c>
    </row>
    <row r="62" spans="6:15" x14ac:dyDescent="0.3">
      <c r="F62" t="s">
        <v>63</v>
      </c>
      <c r="G62" t="s">
        <v>13</v>
      </c>
      <c r="H62">
        <v>33</v>
      </c>
      <c r="I62" t="s">
        <v>10</v>
      </c>
      <c r="J62" s="6">
        <v>44253</v>
      </c>
      <c r="K62" t="s">
        <v>11</v>
      </c>
      <c r="L62" s="27">
        <v>75280</v>
      </c>
      <c r="M62" t="s">
        <v>206</v>
      </c>
      <c r="N62" s="9">
        <f ca="1">(TODAY()-Table4[[#This Row],[Date Joined]])/365</f>
        <v>4.9232876712328766</v>
      </c>
      <c r="O62" s="27">
        <f ca="1">IF(Table4[[#This Row],[Tenure]]&gt;3,3%,2%)*Table4[[#This Row],[Salary]]</f>
        <v>2258.4</v>
      </c>
    </row>
    <row r="63" spans="6:15" x14ac:dyDescent="0.3">
      <c r="F63" t="s">
        <v>64</v>
      </c>
      <c r="G63" t="s">
        <v>13</v>
      </c>
      <c r="H63">
        <v>34</v>
      </c>
      <c r="I63" t="s">
        <v>10</v>
      </c>
      <c r="J63" s="6">
        <v>44594</v>
      </c>
      <c r="K63" t="s">
        <v>21</v>
      </c>
      <c r="L63" s="27">
        <v>58940</v>
      </c>
      <c r="M63" t="s">
        <v>206</v>
      </c>
      <c r="N63" s="9">
        <f ca="1">(TODAY()-Table4[[#This Row],[Date Joined]])/365</f>
        <v>3.989041095890411</v>
      </c>
      <c r="O63" s="27">
        <f ca="1">IF(Table4[[#This Row],[Tenure]]&gt;3,3%,2%)*Table4[[#This Row],[Salary]]</f>
        <v>1768.2</v>
      </c>
    </row>
    <row r="64" spans="6:15" x14ac:dyDescent="0.3">
      <c r="F64" t="s">
        <v>65</v>
      </c>
      <c r="G64" t="s">
        <v>13</v>
      </c>
      <c r="H64">
        <v>28</v>
      </c>
      <c r="I64" t="s">
        <v>10</v>
      </c>
      <c r="J64" s="6">
        <v>44425</v>
      </c>
      <c r="K64" t="s">
        <v>16</v>
      </c>
      <c r="L64" s="27">
        <v>104770</v>
      </c>
      <c r="M64" t="s">
        <v>206</v>
      </c>
      <c r="N64" s="9">
        <f ca="1">(TODAY()-Table4[[#This Row],[Date Joined]])/365</f>
        <v>4.4520547945205475</v>
      </c>
      <c r="O64" s="27">
        <f ca="1">IF(Table4[[#This Row],[Tenure]]&gt;3,3%,2%)*Table4[[#This Row],[Salary]]</f>
        <v>3143.1</v>
      </c>
    </row>
    <row r="65" spans="6:15" x14ac:dyDescent="0.3">
      <c r="F65" t="s">
        <v>66</v>
      </c>
      <c r="G65" t="s">
        <v>9</v>
      </c>
      <c r="H65">
        <v>21</v>
      </c>
      <c r="I65" t="s">
        <v>10</v>
      </c>
      <c r="J65" s="6">
        <v>44701</v>
      </c>
      <c r="K65" t="s">
        <v>16</v>
      </c>
      <c r="L65" s="27">
        <v>57090</v>
      </c>
      <c r="M65" t="s">
        <v>206</v>
      </c>
      <c r="N65" s="9">
        <f ca="1">(TODAY()-Table4[[#This Row],[Date Joined]])/365</f>
        <v>3.6958904109589041</v>
      </c>
      <c r="O65" s="27">
        <f ca="1">IF(Table4[[#This Row],[Tenure]]&gt;3,3%,2%)*Table4[[#This Row],[Salary]]</f>
        <v>1712.7</v>
      </c>
    </row>
    <row r="66" spans="6:15" x14ac:dyDescent="0.3">
      <c r="F66" t="s">
        <v>67</v>
      </c>
      <c r="G66" t="s">
        <v>9</v>
      </c>
      <c r="H66">
        <v>27</v>
      </c>
      <c r="I66" t="s">
        <v>14</v>
      </c>
      <c r="J66" s="6">
        <v>44174</v>
      </c>
      <c r="K66" t="s">
        <v>21</v>
      </c>
      <c r="L66" s="27">
        <v>91650</v>
      </c>
      <c r="M66" t="s">
        <v>206</v>
      </c>
      <c r="N66" s="9">
        <f ca="1">(TODAY()-Table4[[#This Row],[Date Joined]])/365</f>
        <v>5.13972602739726</v>
      </c>
      <c r="O66" s="27">
        <f ca="1">IF(Table4[[#This Row],[Tenure]]&gt;3,3%,2%)*Table4[[#This Row],[Salary]]</f>
        <v>2749.5</v>
      </c>
    </row>
    <row r="67" spans="6:15" x14ac:dyDescent="0.3">
      <c r="F67" t="s">
        <v>68</v>
      </c>
      <c r="G67" t="s">
        <v>9</v>
      </c>
      <c r="H67">
        <v>42</v>
      </c>
      <c r="I67" t="s">
        <v>20</v>
      </c>
      <c r="J67" s="6">
        <v>44670</v>
      </c>
      <c r="K67" t="s">
        <v>21</v>
      </c>
      <c r="L67" s="27">
        <v>70270</v>
      </c>
      <c r="M67" t="s">
        <v>206</v>
      </c>
      <c r="N67" s="9">
        <f ca="1">(TODAY()-Table4[[#This Row],[Date Joined]])/365</f>
        <v>3.7808219178082192</v>
      </c>
      <c r="O67" s="27">
        <f ca="1">IF(Table4[[#This Row],[Tenure]]&gt;3,3%,2%)*Table4[[#This Row],[Salary]]</f>
        <v>2108.1</v>
      </c>
    </row>
    <row r="68" spans="6:15" x14ac:dyDescent="0.3">
      <c r="F68" t="s">
        <v>69</v>
      </c>
      <c r="G68" t="s">
        <v>13</v>
      </c>
      <c r="H68">
        <v>28</v>
      </c>
      <c r="I68" t="s">
        <v>10</v>
      </c>
      <c r="J68" s="6">
        <v>44124</v>
      </c>
      <c r="K68" t="s">
        <v>21</v>
      </c>
      <c r="L68" s="27">
        <v>75970</v>
      </c>
      <c r="M68" t="s">
        <v>206</v>
      </c>
      <c r="N68" s="9">
        <f ca="1">(TODAY()-Table4[[#This Row],[Date Joined]])/365</f>
        <v>5.2767123287671236</v>
      </c>
      <c r="O68" s="27">
        <f ca="1">IF(Table4[[#This Row],[Tenure]]&gt;3,3%,2%)*Table4[[#This Row],[Salary]]</f>
        <v>2279.1</v>
      </c>
    </row>
    <row r="69" spans="6:15" x14ac:dyDescent="0.3">
      <c r="F69" t="s">
        <v>70</v>
      </c>
      <c r="G69" t="s">
        <v>207</v>
      </c>
      <c r="H69">
        <v>27</v>
      </c>
      <c r="I69" t="s">
        <v>14</v>
      </c>
      <c r="J69" s="6">
        <v>44212</v>
      </c>
      <c r="K69" t="s">
        <v>11</v>
      </c>
      <c r="L69" s="27">
        <v>90700</v>
      </c>
      <c r="M69" t="s">
        <v>206</v>
      </c>
      <c r="N69" s="9">
        <f ca="1">(TODAY()-Table4[[#This Row],[Date Joined]])/365</f>
        <v>5.0356164383561648</v>
      </c>
      <c r="O69" s="27">
        <f ca="1">IF(Table4[[#This Row],[Tenure]]&gt;3,3%,2%)*Table4[[#This Row],[Salary]]</f>
        <v>2721</v>
      </c>
    </row>
    <row r="70" spans="6:15" x14ac:dyDescent="0.3">
      <c r="F70" t="s">
        <v>71</v>
      </c>
      <c r="G70" t="s">
        <v>9</v>
      </c>
      <c r="H70">
        <v>30</v>
      </c>
      <c r="I70" t="s">
        <v>10</v>
      </c>
      <c r="J70" s="6">
        <v>44607</v>
      </c>
      <c r="K70" t="s">
        <v>16</v>
      </c>
      <c r="L70" s="27">
        <v>60570</v>
      </c>
      <c r="M70" t="s">
        <v>206</v>
      </c>
      <c r="N70" s="9">
        <f ca="1">(TODAY()-Table4[[#This Row],[Date Joined]])/365</f>
        <v>3.9534246575342467</v>
      </c>
      <c r="O70" s="27">
        <f ca="1">IF(Table4[[#This Row],[Tenure]]&gt;3,3%,2%)*Table4[[#This Row],[Salary]]</f>
        <v>1817.1</v>
      </c>
    </row>
    <row r="71" spans="6:15" x14ac:dyDescent="0.3">
      <c r="F71" t="s">
        <v>72</v>
      </c>
      <c r="G71" t="s">
        <v>9</v>
      </c>
      <c r="H71">
        <v>33</v>
      </c>
      <c r="I71" t="s">
        <v>10</v>
      </c>
      <c r="J71" s="6">
        <v>44103</v>
      </c>
      <c r="K71" t="s">
        <v>16</v>
      </c>
      <c r="L71" s="27">
        <v>115920</v>
      </c>
      <c r="M71" t="s">
        <v>206</v>
      </c>
      <c r="N71" s="9">
        <f ca="1">(TODAY()-Table4[[#This Row],[Date Joined]])/365</f>
        <v>5.3342465753424655</v>
      </c>
      <c r="O71" s="27">
        <f ca="1">IF(Table4[[#This Row],[Tenure]]&gt;3,3%,2%)*Table4[[#This Row],[Salary]]</f>
        <v>3477.6</v>
      </c>
    </row>
    <row r="72" spans="6:15" x14ac:dyDescent="0.3">
      <c r="F72" t="s">
        <v>73</v>
      </c>
      <c r="G72" t="s">
        <v>13</v>
      </c>
      <c r="H72">
        <v>33</v>
      </c>
      <c r="I72" t="s">
        <v>10</v>
      </c>
      <c r="J72" s="6">
        <v>44006</v>
      </c>
      <c r="K72" t="s">
        <v>21</v>
      </c>
      <c r="L72" s="27">
        <v>65360</v>
      </c>
      <c r="M72" t="s">
        <v>206</v>
      </c>
      <c r="N72" s="9">
        <f ca="1">(TODAY()-Table4[[#This Row],[Date Joined]])/365</f>
        <v>5.6</v>
      </c>
      <c r="O72" s="27">
        <f ca="1">IF(Table4[[#This Row],[Tenure]]&gt;3,3%,2%)*Table4[[#This Row],[Salary]]</f>
        <v>1960.8</v>
      </c>
    </row>
    <row r="73" spans="6:15" x14ac:dyDescent="0.3">
      <c r="F73" t="s">
        <v>74</v>
      </c>
      <c r="G73" t="s">
        <v>207</v>
      </c>
      <c r="H73">
        <v>30</v>
      </c>
      <c r="I73" t="s">
        <v>10</v>
      </c>
      <c r="J73" s="6">
        <v>44535</v>
      </c>
      <c r="K73" t="s">
        <v>21</v>
      </c>
      <c r="L73" s="27">
        <v>64000</v>
      </c>
      <c r="M73" t="s">
        <v>206</v>
      </c>
      <c r="N73" s="9">
        <f ca="1">(TODAY()-Table4[[#This Row],[Date Joined]])/365</f>
        <v>4.1506849315068495</v>
      </c>
      <c r="O73" s="27">
        <f ca="1">IF(Table4[[#This Row],[Tenure]]&gt;3,3%,2%)*Table4[[#This Row],[Salary]]</f>
        <v>1920</v>
      </c>
    </row>
    <row r="74" spans="6:15" x14ac:dyDescent="0.3">
      <c r="F74" t="s">
        <v>75</v>
      </c>
      <c r="G74" t="s">
        <v>13</v>
      </c>
      <c r="H74">
        <v>34</v>
      </c>
      <c r="I74" t="s">
        <v>10</v>
      </c>
      <c r="J74" s="6">
        <v>44383</v>
      </c>
      <c r="K74" t="s">
        <v>21</v>
      </c>
      <c r="L74" s="27">
        <v>92450</v>
      </c>
      <c r="M74" t="s">
        <v>206</v>
      </c>
      <c r="N74" s="9">
        <f ca="1">(TODAY()-Table4[[#This Row],[Date Joined]])/365</f>
        <v>4.5671232876712331</v>
      </c>
      <c r="O74" s="27">
        <f ca="1">IF(Table4[[#This Row],[Tenure]]&gt;3,3%,2%)*Table4[[#This Row],[Salary]]</f>
        <v>2773.5</v>
      </c>
    </row>
    <row r="75" spans="6:15" x14ac:dyDescent="0.3">
      <c r="F75" t="s">
        <v>76</v>
      </c>
      <c r="G75" t="s">
        <v>9</v>
      </c>
      <c r="H75">
        <v>31</v>
      </c>
      <c r="I75" t="s">
        <v>10</v>
      </c>
      <c r="J75" s="6">
        <v>44450</v>
      </c>
      <c r="K75" t="s">
        <v>11</v>
      </c>
      <c r="L75" s="27">
        <v>48950</v>
      </c>
      <c r="M75" t="s">
        <v>206</v>
      </c>
      <c r="N75" s="9">
        <f ca="1">(TODAY()-Table4[[#This Row],[Date Joined]])/365</f>
        <v>4.3835616438356162</v>
      </c>
      <c r="O75" s="27">
        <f ca="1">IF(Table4[[#This Row],[Tenure]]&gt;3,3%,2%)*Table4[[#This Row],[Salary]]</f>
        <v>1468.5</v>
      </c>
    </row>
    <row r="76" spans="6:15" x14ac:dyDescent="0.3">
      <c r="F76" t="s">
        <v>77</v>
      </c>
      <c r="G76" t="s">
        <v>13</v>
      </c>
      <c r="H76">
        <v>27</v>
      </c>
      <c r="I76" t="s">
        <v>10</v>
      </c>
      <c r="J76" s="6">
        <v>44625</v>
      </c>
      <c r="K76" t="s">
        <v>11</v>
      </c>
      <c r="L76" s="27">
        <v>83750</v>
      </c>
      <c r="M76" t="s">
        <v>206</v>
      </c>
      <c r="N76" s="9">
        <f ca="1">(TODAY()-Table4[[#This Row],[Date Joined]])/365</f>
        <v>3.904109589041096</v>
      </c>
      <c r="O76" s="27">
        <f ca="1">IF(Table4[[#This Row],[Tenure]]&gt;3,3%,2%)*Table4[[#This Row],[Salary]]</f>
        <v>2512.5</v>
      </c>
    </row>
    <row r="77" spans="6:15" x14ac:dyDescent="0.3">
      <c r="F77" t="s">
        <v>78</v>
      </c>
      <c r="G77" t="s">
        <v>13</v>
      </c>
      <c r="H77">
        <v>40</v>
      </c>
      <c r="I77" t="s">
        <v>10</v>
      </c>
      <c r="J77" s="6">
        <v>44276</v>
      </c>
      <c r="K77" t="s">
        <v>11</v>
      </c>
      <c r="L77" s="27">
        <v>87620</v>
      </c>
      <c r="M77" t="s">
        <v>206</v>
      </c>
      <c r="N77" s="9">
        <f ca="1">(TODAY()-Table4[[#This Row],[Date Joined]])/365</f>
        <v>4.86027397260274</v>
      </c>
      <c r="O77" s="27">
        <f ca="1">IF(Table4[[#This Row],[Tenure]]&gt;3,3%,2%)*Table4[[#This Row],[Salary]]</f>
        <v>2628.6</v>
      </c>
    </row>
    <row r="78" spans="6:15" x14ac:dyDescent="0.3">
      <c r="F78" t="s">
        <v>79</v>
      </c>
      <c r="G78" t="s">
        <v>13</v>
      </c>
      <c r="H78">
        <v>20</v>
      </c>
      <c r="I78" t="s">
        <v>20</v>
      </c>
      <c r="J78" s="6">
        <v>44476</v>
      </c>
      <c r="K78" t="s">
        <v>23</v>
      </c>
      <c r="L78" s="27">
        <v>68900</v>
      </c>
      <c r="M78" t="s">
        <v>206</v>
      </c>
      <c r="N78" s="9">
        <f ca="1">(TODAY()-Table4[[#This Row],[Date Joined]])/365</f>
        <v>4.3123287671232875</v>
      </c>
      <c r="O78" s="27">
        <f ca="1">IF(Table4[[#This Row],[Tenure]]&gt;3,3%,2%)*Table4[[#This Row],[Salary]]</f>
        <v>2067</v>
      </c>
    </row>
    <row r="79" spans="6:15" x14ac:dyDescent="0.3">
      <c r="F79" t="s">
        <v>80</v>
      </c>
      <c r="G79" t="s">
        <v>9</v>
      </c>
      <c r="H79">
        <v>32</v>
      </c>
      <c r="I79" t="s">
        <v>10</v>
      </c>
      <c r="J79" s="6">
        <v>44403</v>
      </c>
      <c r="K79" t="s">
        <v>23</v>
      </c>
      <c r="L79" s="27">
        <v>53540</v>
      </c>
      <c r="M79" t="s">
        <v>206</v>
      </c>
      <c r="N79" s="9">
        <f ca="1">(TODAY()-Table4[[#This Row],[Date Joined]])/365</f>
        <v>4.5123287671232877</v>
      </c>
      <c r="O79" s="27">
        <f ca="1">IF(Table4[[#This Row],[Tenure]]&gt;3,3%,2%)*Table4[[#This Row],[Salary]]</f>
        <v>1606.2</v>
      </c>
    </row>
    <row r="80" spans="6:15" x14ac:dyDescent="0.3">
      <c r="F80" t="s">
        <v>81</v>
      </c>
      <c r="G80" t="s">
        <v>9</v>
      </c>
      <c r="H80">
        <v>28</v>
      </c>
      <c r="I80" t="s">
        <v>82</v>
      </c>
      <c r="J80" s="6">
        <v>44758</v>
      </c>
      <c r="K80" t="s">
        <v>23</v>
      </c>
      <c r="L80" s="27">
        <v>43510</v>
      </c>
      <c r="M80" t="s">
        <v>206</v>
      </c>
      <c r="N80" s="9">
        <f ca="1">(TODAY()-Table4[[#This Row],[Date Joined]])/365</f>
        <v>3.5397260273972604</v>
      </c>
      <c r="O80" s="27">
        <f ca="1">IF(Table4[[#This Row],[Tenure]]&gt;3,3%,2%)*Table4[[#This Row],[Salary]]</f>
        <v>1305.3</v>
      </c>
    </row>
    <row r="81" spans="6:15" x14ac:dyDescent="0.3">
      <c r="F81" t="s">
        <v>83</v>
      </c>
      <c r="G81" t="s">
        <v>13</v>
      </c>
      <c r="H81">
        <v>38</v>
      </c>
      <c r="I81" t="s">
        <v>42</v>
      </c>
      <c r="J81" s="6">
        <v>44316</v>
      </c>
      <c r="K81" t="s">
        <v>23</v>
      </c>
      <c r="L81" s="27">
        <v>109160</v>
      </c>
      <c r="M81" t="s">
        <v>206</v>
      </c>
      <c r="N81" s="9">
        <f ca="1">(TODAY()-Table4[[#This Row],[Date Joined]])/365</f>
        <v>4.7506849315068491</v>
      </c>
      <c r="O81" s="27">
        <f ca="1">IF(Table4[[#This Row],[Tenure]]&gt;3,3%,2%)*Table4[[#This Row],[Salary]]</f>
        <v>3274.7999999999997</v>
      </c>
    </row>
    <row r="82" spans="6:15" x14ac:dyDescent="0.3">
      <c r="F82" t="s">
        <v>84</v>
      </c>
      <c r="G82" t="s">
        <v>9</v>
      </c>
      <c r="H82">
        <v>40</v>
      </c>
      <c r="I82" t="s">
        <v>10</v>
      </c>
      <c r="J82" s="6">
        <v>44204</v>
      </c>
      <c r="K82" t="s">
        <v>16</v>
      </c>
      <c r="L82" s="27">
        <v>99750</v>
      </c>
      <c r="M82" t="s">
        <v>206</v>
      </c>
      <c r="N82" s="9">
        <f ca="1">(TODAY()-Table4[[#This Row],[Date Joined]])/365</f>
        <v>5.0575342465753428</v>
      </c>
      <c r="O82" s="27">
        <f ca="1">IF(Table4[[#This Row],[Tenure]]&gt;3,3%,2%)*Table4[[#This Row],[Salary]]</f>
        <v>2992.5</v>
      </c>
    </row>
    <row r="83" spans="6:15" x14ac:dyDescent="0.3">
      <c r="F83" t="s">
        <v>85</v>
      </c>
      <c r="G83" t="s">
        <v>13</v>
      </c>
      <c r="H83">
        <v>31</v>
      </c>
      <c r="I83" t="s">
        <v>10</v>
      </c>
      <c r="J83" s="6">
        <v>44084</v>
      </c>
      <c r="K83" t="s">
        <v>11</v>
      </c>
      <c r="L83" s="27">
        <v>41980</v>
      </c>
      <c r="M83" t="s">
        <v>206</v>
      </c>
      <c r="N83" s="9">
        <f ca="1">(TODAY()-Table4[[#This Row],[Date Joined]])/365</f>
        <v>5.3863013698630136</v>
      </c>
      <c r="O83" s="27">
        <f ca="1">IF(Table4[[#This Row],[Tenure]]&gt;3,3%,2%)*Table4[[#This Row],[Salary]]</f>
        <v>1259.3999999999999</v>
      </c>
    </row>
    <row r="84" spans="6:15" x14ac:dyDescent="0.3">
      <c r="F84" t="s">
        <v>86</v>
      </c>
      <c r="G84" t="s">
        <v>9</v>
      </c>
      <c r="H84">
        <v>36</v>
      </c>
      <c r="I84" t="s">
        <v>10</v>
      </c>
      <c r="J84" s="6">
        <v>44272</v>
      </c>
      <c r="K84" t="s">
        <v>21</v>
      </c>
      <c r="L84" s="27">
        <v>71380</v>
      </c>
      <c r="M84" t="s">
        <v>206</v>
      </c>
      <c r="N84" s="9">
        <f ca="1">(TODAY()-Table4[[#This Row],[Date Joined]])/365</f>
        <v>4.8712328767123285</v>
      </c>
      <c r="O84" s="27">
        <f ca="1">IF(Table4[[#This Row],[Tenure]]&gt;3,3%,2%)*Table4[[#This Row],[Salary]]</f>
        <v>2141.4</v>
      </c>
    </row>
    <row r="85" spans="6:15" x14ac:dyDescent="0.3">
      <c r="F85" t="s">
        <v>87</v>
      </c>
      <c r="G85" t="s">
        <v>9</v>
      </c>
      <c r="H85">
        <v>27</v>
      </c>
      <c r="I85" t="s">
        <v>82</v>
      </c>
      <c r="J85" s="6">
        <v>44547</v>
      </c>
      <c r="K85" t="s">
        <v>16</v>
      </c>
      <c r="L85" s="27">
        <v>113280</v>
      </c>
      <c r="M85" t="s">
        <v>206</v>
      </c>
      <c r="N85" s="9">
        <f ca="1">(TODAY()-Table4[[#This Row],[Date Joined]])/365</f>
        <v>4.117808219178082</v>
      </c>
      <c r="O85" s="27">
        <f ca="1">IF(Table4[[#This Row],[Tenure]]&gt;3,3%,2%)*Table4[[#This Row],[Salary]]</f>
        <v>3398.4</v>
      </c>
    </row>
    <row r="86" spans="6:15" x14ac:dyDescent="0.3">
      <c r="F86" t="s">
        <v>88</v>
      </c>
      <c r="G86" t="s">
        <v>13</v>
      </c>
      <c r="H86">
        <v>33</v>
      </c>
      <c r="I86" t="s">
        <v>10</v>
      </c>
      <c r="J86" s="6">
        <v>44747</v>
      </c>
      <c r="K86" t="s">
        <v>21</v>
      </c>
      <c r="L86" s="27">
        <v>86570</v>
      </c>
      <c r="M86" t="s">
        <v>206</v>
      </c>
      <c r="N86" s="9">
        <f ca="1">(TODAY()-Table4[[#This Row],[Date Joined]])/365</f>
        <v>3.56986301369863</v>
      </c>
      <c r="O86" s="27">
        <f ca="1">IF(Table4[[#This Row],[Tenure]]&gt;3,3%,2%)*Table4[[#This Row],[Salary]]</f>
        <v>2597.1</v>
      </c>
    </row>
    <row r="87" spans="6:15" x14ac:dyDescent="0.3">
      <c r="F87" t="s">
        <v>89</v>
      </c>
      <c r="G87" t="s">
        <v>9</v>
      </c>
      <c r="H87">
        <v>26</v>
      </c>
      <c r="I87" t="s">
        <v>10</v>
      </c>
      <c r="J87" s="6">
        <v>44350</v>
      </c>
      <c r="K87" t="s">
        <v>16</v>
      </c>
      <c r="L87" s="27">
        <v>53540</v>
      </c>
      <c r="M87" t="s">
        <v>206</v>
      </c>
      <c r="N87" s="9">
        <f ca="1">(TODAY()-Table4[[#This Row],[Date Joined]])/365</f>
        <v>4.6575342465753424</v>
      </c>
      <c r="O87" s="27">
        <f ca="1">IF(Table4[[#This Row],[Tenure]]&gt;3,3%,2%)*Table4[[#This Row],[Salary]]</f>
        <v>1606.2</v>
      </c>
    </row>
    <row r="88" spans="6:15" x14ac:dyDescent="0.3">
      <c r="F88" t="s">
        <v>90</v>
      </c>
      <c r="G88" t="s">
        <v>9</v>
      </c>
      <c r="H88">
        <v>37</v>
      </c>
      <c r="I88" t="s">
        <v>10</v>
      </c>
      <c r="J88" s="6">
        <v>44640</v>
      </c>
      <c r="K88" t="s">
        <v>11</v>
      </c>
      <c r="L88" s="27">
        <v>69070</v>
      </c>
      <c r="M88" t="s">
        <v>206</v>
      </c>
      <c r="N88" s="9">
        <f ca="1">(TODAY()-Table4[[#This Row],[Date Joined]])/365</f>
        <v>3.8630136986301369</v>
      </c>
      <c r="O88" s="27">
        <f ca="1">IF(Table4[[#This Row],[Tenure]]&gt;3,3%,2%)*Table4[[#This Row],[Salary]]</f>
        <v>2072.1</v>
      </c>
    </row>
    <row r="89" spans="6:15" x14ac:dyDescent="0.3">
      <c r="F89" t="s">
        <v>91</v>
      </c>
      <c r="G89" t="s">
        <v>13</v>
      </c>
      <c r="H89">
        <v>30</v>
      </c>
      <c r="I89" t="s">
        <v>20</v>
      </c>
      <c r="J89" s="6">
        <v>44328</v>
      </c>
      <c r="K89" t="s">
        <v>21</v>
      </c>
      <c r="L89" s="27">
        <v>67910</v>
      </c>
      <c r="M89" t="s">
        <v>206</v>
      </c>
      <c r="N89" s="9">
        <f ca="1">(TODAY()-Table4[[#This Row],[Date Joined]])/365</f>
        <v>4.7178082191780826</v>
      </c>
      <c r="O89" s="27">
        <f ca="1">IF(Table4[[#This Row],[Tenure]]&gt;3,3%,2%)*Table4[[#This Row],[Salary]]</f>
        <v>2037.3</v>
      </c>
    </row>
    <row r="90" spans="6:15" x14ac:dyDescent="0.3">
      <c r="F90" t="s">
        <v>92</v>
      </c>
      <c r="G90" t="s">
        <v>9</v>
      </c>
      <c r="H90">
        <v>30</v>
      </c>
      <c r="I90" t="s">
        <v>10</v>
      </c>
      <c r="J90" s="6">
        <v>44214</v>
      </c>
      <c r="K90" t="s">
        <v>11</v>
      </c>
      <c r="L90" s="27">
        <v>69120</v>
      </c>
      <c r="M90" t="s">
        <v>206</v>
      </c>
      <c r="N90" s="9">
        <f ca="1">(TODAY()-Table4[[#This Row],[Date Joined]])/365</f>
        <v>5.0301369863013701</v>
      </c>
      <c r="O90" s="27">
        <f ca="1">IF(Table4[[#This Row],[Tenure]]&gt;3,3%,2%)*Table4[[#This Row],[Salary]]</f>
        <v>2073.6</v>
      </c>
    </row>
    <row r="91" spans="6:15" x14ac:dyDescent="0.3">
      <c r="F91" t="s">
        <v>93</v>
      </c>
      <c r="G91" t="s">
        <v>13</v>
      </c>
      <c r="H91">
        <v>34</v>
      </c>
      <c r="I91" t="s">
        <v>10</v>
      </c>
      <c r="J91" s="6">
        <v>44550</v>
      </c>
      <c r="K91" t="s">
        <v>21</v>
      </c>
      <c r="L91" s="27">
        <v>60130</v>
      </c>
      <c r="M91" t="s">
        <v>206</v>
      </c>
      <c r="N91" s="9">
        <f ca="1">(TODAY()-Table4[[#This Row],[Date Joined]])/365</f>
        <v>4.1095890410958908</v>
      </c>
      <c r="O91" s="27">
        <f ca="1">IF(Table4[[#This Row],[Tenure]]&gt;3,3%,2%)*Table4[[#This Row],[Salary]]</f>
        <v>1803.8999999999999</v>
      </c>
    </row>
    <row r="92" spans="6:15" x14ac:dyDescent="0.3">
      <c r="F92" t="s">
        <v>94</v>
      </c>
      <c r="G92" t="s">
        <v>9</v>
      </c>
      <c r="H92">
        <v>23</v>
      </c>
      <c r="I92" t="s">
        <v>10</v>
      </c>
      <c r="J92" s="6">
        <v>44378</v>
      </c>
      <c r="K92" t="s">
        <v>16</v>
      </c>
      <c r="L92" s="27">
        <v>106460</v>
      </c>
      <c r="M92" t="s">
        <v>206</v>
      </c>
      <c r="N92" s="9">
        <f ca="1">(TODAY()-Table4[[#This Row],[Date Joined]])/365</f>
        <v>4.580821917808219</v>
      </c>
      <c r="O92" s="27">
        <f ca="1">IF(Table4[[#This Row],[Tenure]]&gt;3,3%,2%)*Table4[[#This Row],[Salary]]</f>
        <v>3193.7999999999997</v>
      </c>
    </row>
    <row r="93" spans="6:15" x14ac:dyDescent="0.3">
      <c r="F93" t="s">
        <v>95</v>
      </c>
      <c r="G93" t="s">
        <v>13</v>
      </c>
      <c r="H93">
        <v>37</v>
      </c>
      <c r="I93" t="s">
        <v>10</v>
      </c>
      <c r="J93" s="6">
        <v>44389</v>
      </c>
      <c r="K93" t="s">
        <v>18</v>
      </c>
      <c r="L93" s="27">
        <v>118100</v>
      </c>
      <c r="M93" t="s">
        <v>206</v>
      </c>
      <c r="N93" s="9">
        <f ca="1">(TODAY()-Table4[[#This Row],[Date Joined]])/365</f>
        <v>4.5506849315068489</v>
      </c>
      <c r="O93" s="27">
        <f ca="1">IF(Table4[[#This Row],[Tenure]]&gt;3,3%,2%)*Table4[[#This Row],[Salary]]</f>
        <v>3543</v>
      </c>
    </row>
    <row r="94" spans="6:15" x14ac:dyDescent="0.3">
      <c r="F94" t="s">
        <v>96</v>
      </c>
      <c r="G94" t="s">
        <v>13</v>
      </c>
      <c r="H94">
        <v>36</v>
      </c>
      <c r="I94" t="s">
        <v>10</v>
      </c>
      <c r="J94" s="6">
        <v>44468</v>
      </c>
      <c r="K94" t="s">
        <v>16</v>
      </c>
      <c r="L94" s="27">
        <v>78390</v>
      </c>
      <c r="M94" t="s">
        <v>206</v>
      </c>
      <c r="N94" s="9">
        <f ca="1">(TODAY()-Table4[[#This Row],[Date Joined]])/365</f>
        <v>4.3342465753424655</v>
      </c>
      <c r="O94" s="27">
        <f ca="1">IF(Table4[[#This Row],[Tenure]]&gt;3,3%,2%)*Table4[[#This Row],[Salary]]</f>
        <v>2351.6999999999998</v>
      </c>
    </row>
    <row r="95" spans="6:15" x14ac:dyDescent="0.3">
      <c r="F95" t="s">
        <v>97</v>
      </c>
      <c r="G95" t="s">
        <v>13</v>
      </c>
      <c r="H95">
        <v>30</v>
      </c>
      <c r="I95" t="s">
        <v>10</v>
      </c>
      <c r="J95" s="6">
        <v>44789</v>
      </c>
      <c r="K95" t="s">
        <v>16</v>
      </c>
      <c r="L95" s="27">
        <v>114180</v>
      </c>
      <c r="M95" t="s">
        <v>206</v>
      </c>
      <c r="N95" s="9">
        <f ca="1">(TODAY()-Table4[[#This Row],[Date Joined]])/365</f>
        <v>3.4547945205479453</v>
      </c>
      <c r="O95" s="27">
        <f ca="1">IF(Table4[[#This Row],[Tenure]]&gt;3,3%,2%)*Table4[[#This Row],[Salary]]</f>
        <v>3425.4</v>
      </c>
    </row>
    <row r="96" spans="6:15" x14ac:dyDescent="0.3">
      <c r="F96" t="s">
        <v>98</v>
      </c>
      <c r="G96" t="s">
        <v>13</v>
      </c>
      <c r="H96">
        <v>28</v>
      </c>
      <c r="I96" t="s">
        <v>10</v>
      </c>
      <c r="J96" s="6">
        <v>44590</v>
      </c>
      <c r="K96" t="s">
        <v>16</v>
      </c>
      <c r="L96" s="27">
        <v>104120</v>
      </c>
      <c r="M96" t="s">
        <v>206</v>
      </c>
      <c r="N96" s="9">
        <f ca="1">(TODAY()-Table4[[#This Row],[Date Joined]])/365</f>
        <v>4</v>
      </c>
      <c r="O96" s="27">
        <f ca="1">IF(Table4[[#This Row],[Tenure]]&gt;3,3%,2%)*Table4[[#This Row],[Salary]]</f>
        <v>3123.6</v>
      </c>
    </row>
    <row r="97" spans="6:15" x14ac:dyDescent="0.3">
      <c r="F97" t="s">
        <v>99</v>
      </c>
      <c r="G97" t="s">
        <v>9</v>
      </c>
      <c r="H97">
        <v>30</v>
      </c>
      <c r="I97" t="s">
        <v>10</v>
      </c>
      <c r="J97" s="6">
        <v>44640</v>
      </c>
      <c r="K97" t="s">
        <v>16</v>
      </c>
      <c r="L97" s="27">
        <v>67950</v>
      </c>
      <c r="M97" t="s">
        <v>206</v>
      </c>
      <c r="N97" s="9">
        <f ca="1">(TODAY()-Table4[[#This Row],[Date Joined]])/365</f>
        <v>3.8630136986301369</v>
      </c>
      <c r="O97" s="27">
        <f ca="1">IF(Table4[[#This Row],[Tenure]]&gt;3,3%,2%)*Table4[[#This Row],[Salary]]</f>
        <v>2038.5</v>
      </c>
    </row>
    <row r="98" spans="6:15" x14ac:dyDescent="0.3">
      <c r="F98" t="s">
        <v>100</v>
      </c>
      <c r="G98" t="s">
        <v>13</v>
      </c>
      <c r="H98">
        <v>29</v>
      </c>
      <c r="I98" t="s">
        <v>10</v>
      </c>
      <c r="J98" s="6">
        <v>43962</v>
      </c>
      <c r="K98" t="s">
        <v>11</v>
      </c>
      <c r="L98" s="27">
        <v>34980</v>
      </c>
      <c r="M98" t="s">
        <v>206</v>
      </c>
      <c r="N98" s="9">
        <f ca="1">(TODAY()-Table4[[#This Row],[Date Joined]])/365</f>
        <v>5.720547945205479</v>
      </c>
      <c r="O98" s="27">
        <f ca="1">IF(Table4[[#This Row],[Tenure]]&gt;3,3%,2%)*Table4[[#This Row],[Salary]]</f>
        <v>1049.3999999999999</v>
      </c>
    </row>
    <row r="99" spans="6:15" x14ac:dyDescent="0.3">
      <c r="F99" t="s">
        <v>101</v>
      </c>
      <c r="G99" t="s">
        <v>13</v>
      </c>
      <c r="H99">
        <v>24</v>
      </c>
      <c r="I99" t="s">
        <v>10</v>
      </c>
      <c r="J99" s="6">
        <v>44087</v>
      </c>
      <c r="K99" t="s">
        <v>11</v>
      </c>
      <c r="L99" s="27">
        <v>62780</v>
      </c>
      <c r="M99" t="s">
        <v>206</v>
      </c>
      <c r="N99" s="9">
        <f ca="1">(TODAY()-Table4[[#This Row],[Date Joined]])/365</f>
        <v>5.3780821917808215</v>
      </c>
      <c r="O99" s="27">
        <f ca="1">IF(Table4[[#This Row],[Tenure]]&gt;3,3%,2%)*Table4[[#This Row],[Salary]]</f>
        <v>1883.3999999999999</v>
      </c>
    </row>
    <row r="100" spans="6:15" x14ac:dyDescent="0.3">
      <c r="F100" t="s">
        <v>102</v>
      </c>
      <c r="G100" t="s">
        <v>9</v>
      </c>
      <c r="H100">
        <v>20</v>
      </c>
      <c r="I100" t="s">
        <v>10</v>
      </c>
      <c r="J100" s="6">
        <v>44397</v>
      </c>
      <c r="K100" t="s">
        <v>11</v>
      </c>
      <c r="L100" s="27">
        <v>107700</v>
      </c>
      <c r="M100" t="s">
        <v>206</v>
      </c>
      <c r="N100" s="9">
        <f ca="1">(TODAY()-Table4[[#This Row],[Date Joined]])/365</f>
        <v>4.5287671232876709</v>
      </c>
      <c r="O100" s="27">
        <f ca="1">IF(Table4[[#This Row],[Tenure]]&gt;3,3%,2%)*Table4[[#This Row],[Salary]]</f>
        <v>3231</v>
      </c>
    </row>
    <row r="101" spans="6:15" x14ac:dyDescent="0.3">
      <c r="F101" t="s">
        <v>103</v>
      </c>
      <c r="G101" t="s">
        <v>9</v>
      </c>
      <c r="H101">
        <v>25</v>
      </c>
      <c r="I101" t="s">
        <v>10</v>
      </c>
      <c r="J101" s="6">
        <v>44322</v>
      </c>
      <c r="K101" t="s">
        <v>23</v>
      </c>
      <c r="L101" s="27">
        <v>65700</v>
      </c>
      <c r="M101" t="s">
        <v>206</v>
      </c>
      <c r="N101" s="9">
        <f ca="1">(TODAY()-Table4[[#This Row],[Date Joined]])/365</f>
        <v>4.7342465753424658</v>
      </c>
      <c r="O101" s="27">
        <f ca="1">IF(Table4[[#This Row],[Tenure]]&gt;3,3%,2%)*Table4[[#This Row],[Salary]]</f>
        <v>1971</v>
      </c>
    </row>
    <row r="102" spans="6:15" x14ac:dyDescent="0.3">
      <c r="F102" t="s">
        <v>104</v>
      </c>
      <c r="G102" t="s">
        <v>13</v>
      </c>
      <c r="H102">
        <v>33</v>
      </c>
      <c r="I102" t="s">
        <v>82</v>
      </c>
      <c r="J102" s="6">
        <v>44313</v>
      </c>
      <c r="K102" t="s">
        <v>11</v>
      </c>
      <c r="L102" s="27">
        <v>75480</v>
      </c>
      <c r="M102" t="s">
        <v>206</v>
      </c>
      <c r="N102" s="9">
        <f ca="1">(TODAY()-Table4[[#This Row],[Date Joined]])/365</f>
        <v>4.7589041095890412</v>
      </c>
      <c r="O102" s="27">
        <f ca="1">IF(Table4[[#This Row],[Tenure]]&gt;3,3%,2%)*Table4[[#This Row],[Salary]]</f>
        <v>2264.4</v>
      </c>
    </row>
    <row r="103" spans="6:15" x14ac:dyDescent="0.3">
      <c r="F103" t="s">
        <v>105</v>
      </c>
      <c r="G103" t="s">
        <v>9</v>
      </c>
      <c r="H103">
        <v>33</v>
      </c>
      <c r="I103" t="s">
        <v>10</v>
      </c>
      <c r="J103" s="6">
        <v>44448</v>
      </c>
      <c r="K103" t="s">
        <v>11</v>
      </c>
      <c r="L103" s="27">
        <v>53870</v>
      </c>
      <c r="M103" t="s">
        <v>206</v>
      </c>
      <c r="N103" s="9">
        <f ca="1">(TODAY()-Table4[[#This Row],[Date Joined]])/365</f>
        <v>4.3890410958904109</v>
      </c>
      <c r="O103" s="27">
        <f ca="1">IF(Table4[[#This Row],[Tenure]]&gt;3,3%,2%)*Table4[[#This Row],[Salary]]</f>
        <v>1616.1</v>
      </c>
    </row>
    <row r="104" spans="6:15" x14ac:dyDescent="0.3">
      <c r="F104" t="s">
        <v>106</v>
      </c>
      <c r="G104" t="s">
        <v>13</v>
      </c>
      <c r="H104">
        <v>36</v>
      </c>
      <c r="I104" t="s">
        <v>10</v>
      </c>
      <c r="J104" s="6">
        <v>44433</v>
      </c>
      <c r="K104" t="s">
        <v>23</v>
      </c>
      <c r="L104" s="27">
        <v>78540</v>
      </c>
      <c r="M104" t="s">
        <v>206</v>
      </c>
      <c r="N104" s="9">
        <f ca="1">(TODAY()-Table4[[#This Row],[Date Joined]])/365</f>
        <v>4.4301369863013695</v>
      </c>
      <c r="O104" s="27">
        <f ca="1">IF(Table4[[#This Row],[Tenure]]&gt;3,3%,2%)*Table4[[#This Row],[Salary]]</f>
        <v>2356.1999999999998</v>
      </c>
    </row>
    <row r="105" spans="6:15" x14ac:dyDescent="0.3">
      <c r="F105" t="s">
        <v>107</v>
      </c>
      <c r="G105" t="s">
        <v>9</v>
      </c>
      <c r="H105">
        <v>19</v>
      </c>
      <c r="I105" t="s">
        <v>10</v>
      </c>
      <c r="J105" s="6">
        <v>44218</v>
      </c>
      <c r="K105" t="s">
        <v>16</v>
      </c>
      <c r="L105" s="27">
        <v>58960</v>
      </c>
      <c r="M105" t="s">
        <v>206</v>
      </c>
      <c r="N105" s="9">
        <f ca="1">(TODAY()-Table4[[#This Row],[Date Joined]])/365</f>
        <v>5.0191780821917806</v>
      </c>
      <c r="O105" s="27">
        <f ca="1">IF(Table4[[#This Row],[Tenure]]&gt;3,3%,2%)*Table4[[#This Row],[Salary]]</f>
        <v>1768.8</v>
      </c>
    </row>
    <row r="106" spans="6:15" x14ac:dyDescent="0.3">
      <c r="F106" t="s">
        <v>108</v>
      </c>
      <c r="G106" t="s">
        <v>9</v>
      </c>
      <c r="H106">
        <v>46</v>
      </c>
      <c r="I106" t="s">
        <v>10</v>
      </c>
      <c r="J106" s="6">
        <v>44697</v>
      </c>
      <c r="K106" t="s">
        <v>16</v>
      </c>
      <c r="L106" s="27">
        <v>70610</v>
      </c>
      <c r="M106" t="s">
        <v>206</v>
      </c>
      <c r="N106" s="9">
        <f ca="1">(TODAY()-Table4[[#This Row],[Date Joined]])/365</f>
        <v>3.7068493150684931</v>
      </c>
      <c r="O106" s="27">
        <f ca="1">IF(Table4[[#This Row],[Tenure]]&gt;3,3%,2%)*Table4[[#This Row],[Salary]]</f>
        <v>2118.2999999999997</v>
      </c>
    </row>
    <row r="107" spans="6:15" x14ac:dyDescent="0.3">
      <c r="F107" t="s">
        <v>109</v>
      </c>
      <c r="G107" t="s">
        <v>9</v>
      </c>
      <c r="H107">
        <v>33</v>
      </c>
      <c r="I107" t="s">
        <v>10</v>
      </c>
      <c r="J107" s="6">
        <v>44181</v>
      </c>
      <c r="K107" t="s">
        <v>21</v>
      </c>
      <c r="L107" s="27">
        <v>59430</v>
      </c>
      <c r="M107" t="s">
        <v>206</v>
      </c>
      <c r="N107" s="9">
        <f ca="1">(TODAY()-Table4[[#This Row],[Date Joined]])/365</f>
        <v>5.1205479452054794</v>
      </c>
      <c r="O107" s="27">
        <f ca="1">IF(Table4[[#This Row],[Tenure]]&gt;3,3%,2%)*Table4[[#This Row],[Salary]]</f>
        <v>1782.8999999999999</v>
      </c>
    </row>
    <row r="108" spans="6:15" x14ac:dyDescent="0.3">
      <c r="F108" t="s">
        <v>110</v>
      </c>
      <c r="G108" t="s">
        <v>9</v>
      </c>
      <c r="H108">
        <v>33</v>
      </c>
      <c r="I108" t="s">
        <v>14</v>
      </c>
      <c r="J108" s="6">
        <v>44640</v>
      </c>
      <c r="K108" t="s">
        <v>16</v>
      </c>
      <c r="L108" s="27">
        <v>48530</v>
      </c>
      <c r="M108" t="s">
        <v>206</v>
      </c>
      <c r="N108" s="9">
        <f ca="1">(TODAY()-Table4[[#This Row],[Date Joined]])/365</f>
        <v>3.8630136986301369</v>
      </c>
      <c r="O108" s="27">
        <f ca="1">IF(Table4[[#This Row],[Tenure]]&gt;3,3%,2%)*Table4[[#This Row],[Salary]]</f>
        <v>1455.8999999999999</v>
      </c>
    </row>
    <row r="109" spans="6:15" x14ac:dyDescent="0.3">
      <c r="F109" t="s">
        <v>111</v>
      </c>
      <c r="G109" t="s">
        <v>13</v>
      </c>
      <c r="H109">
        <v>33</v>
      </c>
      <c r="I109" t="s">
        <v>10</v>
      </c>
      <c r="J109" s="6">
        <v>44129</v>
      </c>
      <c r="K109" t="s">
        <v>11</v>
      </c>
      <c r="L109" s="27">
        <v>96140</v>
      </c>
      <c r="M109" t="s">
        <v>206</v>
      </c>
      <c r="N109" s="9">
        <f ca="1">(TODAY()-Table4[[#This Row],[Date Joined]])/365</f>
        <v>5.2630136986301368</v>
      </c>
      <c r="O109" s="27">
        <f ca="1">IF(Table4[[#This Row],[Tenure]]&gt;3,3%,2%)*Table4[[#This Row],[Salary]]</f>
        <v>2884.2</v>
      </c>
    </row>
    <row r="110" spans="6:15" x14ac:dyDescent="0.3">
      <c r="F110" t="s">
        <v>113</v>
      </c>
      <c r="G110" t="s">
        <v>9</v>
      </c>
      <c r="H110">
        <v>22</v>
      </c>
      <c r="I110" t="s">
        <v>14</v>
      </c>
      <c r="J110" s="6">
        <v>44446</v>
      </c>
      <c r="K110" t="s">
        <v>23</v>
      </c>
      <c r="L110" s="27">
        <v>112780</v>
      </c>
      <c r="M110" t="s">
        <v>208</v>
      </c>
      <c r="N110" s="9">
        <f ca="1">(TODAY()-Table4[[#This Row],[Date Joined]])/365</f>
        <v>4.3945205479452056</v>
      </c>
      <c r="O110" s="27">
        <f ca="1">IF(Table4[[#This Row],[Tenure]]&gt;3,3%,2%)*Table4[[#This Row],[Salary]]</f>
        <v>3383.4</v>
      </c>
    </row>
    <row r="111" spans="6:15" x14ac:dyDescent="0.3">
      <c r="F111" t="s">
        <v>114</v>
      </c>
      <c r="G111" t="s">
        <v>9</v>
      </c>
      <c r="H111">
        <v>46</v>
      </c>
      <c r="I111" t="s">
        <v>10</v>
      </c>
      <c r="J111" s="6">
        <v>44758</v>
      </c>
      <c r="K111" t="s">
        <v>16</v>
      </c>
      <c r="L111" s="27">
        <v>70610</v>
      </c>
      <c r="M111" t="s">
        <v>208</v>
      </c>
      <c r="N111" s="9">
        <f ca="1">(TODAY()-Table4[[#This Row],[Date Joined]])/365</f>
        <v>3.5397260273972604</v>
      </c>
      <c r="O111" s="27">
        <f ca="1">IF(Table4[[#This Row],[Tenure]]&gt;3,3%,2%)*Table4[[#This Row],[Salary]]</f>
        <v>2118.2999999999997</v>
      </c>
    </row>
    <row r="112" spans="6:15" x14ac:dyDescent="0.3">
      <c r="F112" t="s">
        <v>115</v>
      </c>
      <c r="G112" t="s">
        <v>13</v>
      </c>
      <c r="H112">
        <v>28</v>
      </c>
      <c r="I112" t="s">
        <v>10</v>
      </c>
      <c r="J112" s="6">
        <v>44357</v>
      </c>
      <c r="K112" t="s">
        <v>23</v>
      </c>
      <c r="L112" s="27">
        <v>53240</v>
      </c>
      <c r="M112" t="s">
        <v>208</v>
      </c>
      <c r="N112" s="9">
        <f ca="1">(TODAY()-Table4[[#This Row],[Date Joined]])/365</f>
        <v>4.6383561643835618</v>
      </c>
      <c r="O112" s="27">
        <f ca="1">IF(Table4[[#This Row],[Tenure]]&gt;3,3%,2%)*Table4[[#This Row],[Salary]]</f>
        <v>1597.2</v>
      </c>
    </row>
    <row r="113" spans="6:15" x14ac:dyDescent="0.3">
      <c r="F113" t="s">
        <v>116</v>
      </c>
      <c r="G113" t="s">
        <v>207</v>
      </c>
      <c r="H113">
        <v>37</v>
      </c>
      <c r="I113" t="s">
        <v>20</v>
      </c>
      <c r="J113" s="6">
        <v>44146</v>
      </c>
      <c r="K113" t="s">
        <v>21</v>
      </c>
      <c r="L113" s="27">
        <v>115440</v>
      </c>
      <c r="M113" t="s">
        <v>208</v>
      </c>
      <c r="N113" s="9">
        <f ca="1">(TODAY()-Table4[[#This Row],[Date Joined]])/365</f>
        <v>5.2164383561643834</v>
      </c>
      <c r="O113" s="27">
        <f ca="1">IF(Table4[[#This Row],[Tenure]]&gt;3,3%,2%)*Table4[[#This Row],[Salary]]</f>
        <v>3463.2</v>
      </c>
    </row>
    <row r="114" spans="6:15" x14ac:dyDescent="0.3">
      <c r="F114" t="s">
        <v>117</v>
      </c>
      <c r="G114" t="s">
        <v>9</v>
      </c>
      <c r="H114">
        <v>32</v>
      </c>
      <c r="I114" t="s">
        <v>10</v>
      </c>
      <c r="J114" s="6">
        <v>44465</v>
      </c>
      <c r="K114" t="s">
        <v>23</v>
      </c>
      <c r="L114" s="27">
        <v>53540</v>
      </c>
      <c r="M114" t="s">
        <v>208</v>
      </c>
      <c r="N114" s="9">
        <f ca="1">(TODAY()-Table4[[#This Row],[Date Joined]])/365</f>
        <v>4.3424657534246576</v>
      </c>
      <c r="O114" s="27">
        <f ca="1">IF(Table4[[#This Row],[Tenure]]&gt;3,3%,2%)*Table4[[#This Row],[Salary]]</f>
        <v>1606.2</v>
      </c>
    </row>
    <row r="115" spans="6:15" x14ac:dyDescent="0.3">
      <c r="F115" t="s">
        <v>118</v>
      </c>
      <c r="G115" t="s">
        <v>13</v>
      </c>
      <c r="H115">
        <v>30</v>
      </c>
      <c r="I115" t="s">
        <v>10</v>
      </c>
      <c r="J115" s="6">
        <v>44861</v>
      </c>
      <c r="K115" t="s">
        <v>16</v>
      </c>
      <c r="L115" s="27">
        <v>112570</v>
      </c>
      <c r="M115" t="s">
        <v>208</v>
      </c>
      <c r="N115" s="9">
        <f ca="1">(TODAY()-Table4[[#This Row],[Date Joined]])/365</f>
        <v>3.2575342465753425</v>
      </c>
      <c r="O115" s="27">
        <f ca="1">IF(Table4[[#This Row],[Tenure]]&gt;3,3%,2%)*Table4[[#This Row],[Salary]]</f>
        <v>3377.1</v>
      </c>
    </row>
    <row r="116" spans="6:15" x14ac:dyDescent="0.3">
      <c r="F116" t="s">
        <v>119</v>
      </c>
      <c r="G116" t="s">
        <v>9</v>
      </c>
      <c r="H116">
        <v>33</v>
      </c>
      <c r="I116" t="s">
        <v>14</v>
      </c>
      <c r="J116" s="6">
        <v>44701</v>
      </c>
      <c r="K116" t="s">
        <v>16</v>
      </c>
      <c r="L116" s="27">
        <v>48530</v>
      </c>
      <c r="M116" t="s">
        <v>208</v>
      </c>
      <c r="N116" s="9">
        <f ca="1">(TODAY()-Table4[[#This Row],[Date Joined]])/365</f>
        <v>3.6958904109589041</v>
      </c>
      <c r="O116" s="27">
        <f ca="1">IF(Table4[[#This Row],[Tenure]]&gt;3,3%,2%)*Table4[[#This Row],[Salary]]</f>
        <v>1455.8999999999999</v>
      </c>
    </row>
    <row r="117" spans="6:15" x14ac:dyDescent="0.3">
      <c r="F117" t="s">
        <v>120</v>
      </c>
      <c r="G117" t="s">
        <v>13</v>
      </c>
      <c r="H117">
        <v>24</v>
      </c>
      <c r="I117" t="s">
        <v>10</v>
      </c>
      <c r="J117" s="6">
        <v>44148</v>
      </c>
      <c r="K117" t="s">
        <v>11</v>
      </c>
      <c r="L117" s="27">
        <v>62780</v>
      </c>
      <c r="M117" t="s">
        <v>208</v>
      </c>
      <c r="N117" s="9">
        <f ca="1">(TODAY()-Table4[[#This Row],[Date Joined]])/365</f>
        <v>5.2109589041095887</v>
      </c>
      <c r="O117" s="27">
        <f ca="1">IF(Table4[[#This Row],[Tenure]]&gt;3,3%,2%)*Table4[[#This Row],[Salary]]</f>
        <v>1883.3999999999999</v>
      </c>
    </row>
    <row r="118" spans="6:15" x14ac:dyDescent="0.3">
      <c r="F118" t="s">
        <v>121</v>
      </c>
      <c r="G118" t="s">
        <v>9</v>
      </c>
      <c r="H118">
        <v>33</v>
      </c>
      <c r="I118" t="s">
        <v>10</v>
      </c>
      <c r="J118" s="6">
        <v>44509</v>
      </c>
      <c r="K118" t="s">
        <v>11</v>
      </c>
      <c r="L118" s="27">
        <v>53870</v>
      </c>
      <c r="M118" t="s">
        <v>208</v>
      </c>
      <c r="N118" s="9">
        <f ca="1">(TODAY()-Table4[[#This Row],[Date Joined]])/365</f>
        <v>4.2219178082191782</v>
      </c>
      <c r="O118" s="27">
        <f ca="1">IF(Table4[[#This Row],[Tenure]]&gt;3,3%,2%)*Table4[[#This Row],[Salary]]</f>
        <v>1616.1</v>
      </c>
    </row>
    <row r="119" spans="6:15" x14ac:dyDescent="0.3">
      <c r="F119" t="s">
        <v>122</v>
      </c>
      <c r="G119" t="s">
        <v>13</v>
      </c>
      <c r="H119">
        <v>27</v>
      </c>
      <c r="I119" t="s">
        <v>10</v>
      </c>
      <c r="J119" s="6">
        <v>44122</v>
      </c>
      <c r="K119" t="s">
        <v>18</v>
      </c>
      <c r="L119" s="27">
        <v>119110</v>
      </c>
      <c r="M119" t="s">
        <v>208</v>
      </c>
      <c r="N119" s="9">
        <f ca="1">(TODAY()-Table4[[#This Row],[Date Joined]])/365</f>
        <v>5.2821917808219174</v>
      </c>
      <c r="O119" s="27">
        <f ca="1">IF(Table4[[#This Row],[Tenure]]&gt;3,3%,2%)*Table4[[#This Row],[Salary]]</f>
        <v>3573.2999999999997</v>
      </c>
    </row>
    <row r="120" spans="6:15" x14ac:dyDescent="0.3">
      <c r="F120" t="s">
        <v>123</v>
      </c>
      <c r="G120" t="s">
        <v>9</v>
      </c>
      <c r="H120">
        <v>29</v>
      </c>
      <c r="I120" t="s">
        <v>20</v>
      </c>
      <c r="J120" s="6">
        <v>44180</v>
      </c>
      <c r="K120" t="s">
        <v>11</v>
      </c>
      <c r="L120" s="27">
        <v>112110</v>
      </c>
      <c r="M120" t="s">
        <v>208</v>
      </c>
      <c r="N120" s="9">
        <f ca="1">(TODAY()-Table4[[#This Row],[Date Joined]])/365</f>
        <v>5.1232876712328768</v>
      </c>
      <c r="O120" s="27">
        <f ca="1">IF(Table4[[#This Row],[Tenure]]&gt;3,3%,2%)*Table4[[#This Row],[Salary]]</f>
        <v>3363.2999999999997</v>
      </c>
    </row>
    <row r="121" spans="6:15" x14ac:dyDescent="0.3">
      <c r="F121" t="s">
        <v>124</v>
      </c>
      <c r="G121" t="s">
        <v>9</v>
      </c>
      <c r="H121">
        <v>25</v>
      </c>
      <c r="I121" t="s">
        <v>10</v>
      </c>
      <c r="J121" s="6">
        <v>44383</v>
      </c>
      <c r="K121" t="s">
        <v>23</v>
      </c>
      <c r="L121" s="27">
        <v>65700</v>
      </c>
      <c r="M121" t="s">
        <v>208</v>
      </c>
      <c r="N121" s="9">
        <f ca="1">(TODAY()-Table4[[#This Row],[Date Joined]])/365</f>
        <v>4.5671232876712331</v>
      </c>
      <c r="O121" s="27">
        <f ca="1">IF(Table4[[#This Row],[Tenure]]&gt;3,3%,2%)*Table4[[#This Row],[Salary]]</f>
        <v>1971</v>
      </c>
    </row>
    <row r="122" spans="6:15" x14ac:dyDescent="0.3">
      <c r="F122" t="s">
        <v>125</v>
      </c>
      <c r="G122" t="s">
        <v>9</v>
      </c>
      <c r="H122">
        <v>37</v>
      </c>
      <c r="I122" t="s">
        <v>10</v>
      </c>
      <c r="J122" s="6">
        <v>44701</v>
      </c>
      <c r="K122" t="s">
        <v>11</v>
      </c>
      <c r="L122" s="27">
        <v>69070</v>
      </c>
      <c r="M122" t="s">
        <v>208</v>
      </c>
      <c r="N122" s="9">
        <f ca="1">(TODAY()-Table4[[#This Row],[Date Joined]])/365</f>
        <v>3.6958904109589041</v>
      </c>
      <c r="O122" s="27">
        <f ca="1">IF(Table4[[#This Row],[Tenure]]&gt;3,3%,2%)*Table4[[#This Row],[Salary]]</f>
        <v>2072.1</v>
      </c>
    </row>
    <row r="123" spans="6:15" x14ac:dyDescent="0.3">
      <c r="F123" t="s">
        <v>126</v>
      </c>
      <c r="G123" t="s">
        <v>9</v>
      </c>
      <c r="H123">
        <v>20</v>
      </c>
      <c r="I123" t="s">
        <v>10</v>
      </c>
      <c r="J123" s="6">
        <v>44459</v>
      </c>
      <c r="K123" t="s">
        <v>11</v>
      </c>
      <c r="L123" s="27">
        <v>107700</v>
      </c>
      <c r="M123" t="s">
        <v>208</v>
      </c>
      <c r="N123" s="9">
        <f ca="1">(TODAY()-Table4[[#This Row],[Date Joined]])/365</f>
        <v>4.3589041095890408</v>
      </c>
      <c r="O123" s="27">
        <f ca="1">IF(Table4[[#This Row],[Tenure]]&gt;3,3%,2%)*Table4[[#This Row],[Salary]]</f>
        <v>3231</v>
      </c>
    </row>
    <row r="124" spans="6:15" x14ac:dyDescent="0.3">
      <c r="F124" t="s">
        <v>127</v>
      </c>
      <c r="G124" t="s">
        <v>13</v>
      </c>
      <c r="H124">
        <v>32</v>
      </c>
      <c r="I124" t="s">
        <v>14</v>
      </c>
      <c r="J124" s="6">
        <v>44354</v>
      </c>
      <c r="K124" t="s">
        <v>11</v>
      </c>
      <c r="L124" s="27">
        <v>43840</v>
      </c>
      <c r="M124" t="s">
        <v>208</v>
      </c>
      <c r="N124" s="9">
        <f ca="1">(TODAY()-Table4[[#This Row],[Date Joined]])/365</f>
        <v>4.646575342465753</v>
      </c>
      <c r="O124" s="27">
        <f ca="1">IF(Table4[[#This Row],[Tenure]]&gt;3,3%,2%)*Table4[[#This Row],[Salary]]</f>
        <v>1315.2</v>
      </c>
    </row>
    <row r="125" spans="6:15" x14ac:dyDescent="0.3">
      <c r="F125" t="s">
        <v>128</v>
      </c>
      <c r="G125" t="s">
        <v>9</v>
      </c>
      <c r="H125">
        <v>40</v>
      </c>
      <c r="I125" t="s">
        <v>10</v>
      </c>
      <c r="J125" s="6">
        <v>44263</v>
      </c>
      <c r="K125" t="s">
        <v>16</v>
      </c>
      <c r="L125" s="27">
        <v>99750</v>
      </c>
      <c r="M125" t="s">
        <v>208</v>
      </c>
      <c r="N125" s="9">
        <f ca="1">(TODAY()-Table4[[#This Row],[Date Joined]])/365</f>
        <v>4.8958904109589039</v>
      </c>
      <c r="O125" s="27">
        <f ca="1">IF(Table4[[#This Row],[Tenure]]&gt;3,3%,2%)*Table4[[#This Row],[Salary]]</f>
        <v>2992.5</v>
      </c>
    </row>
    <row r="126" spans="6:15" x14ac:dyDescent="0.3">
      <c r="F126" t="s">
        <v>129</v>
      </c>
      <c r="G126" t="s">
        <v>9</v>
      </c>
      <c r="H126">
        <v>21</v>
      </c>
      <c r="I126" t="s">
        <v>10</v>
      </c>
      <c r="J126" s="6">
        <v>44104</v>
      </c>
      <c r="K126" t="s">
        <v>16</v>
      </c>
      <c r="L126" s="27">
        <v>37920</v>
      </c>
      <c r="M126" t="s">
        <v>208</v>
      </c>
      <c r="N126" s="9">
        <f ca="1">(TODAY()-Table4[[#This Row],[Date Joined]])/365</f>
        <v>5.3315068493150681</v>
      </c>
      <c r="O126" s="27">
        <f ca="1">IF(Table4[[#This Row],[Tenure]]&gt;3,3%,2%)*Table4[[#This Row],[Salary]]</f>
        <v>1137.5999999999999</v>
      </c>
    </row>
    <row r="127" spans="6:15" x14ac:dyDescent="0.3">
      <c r="F127" t="s">
        <v>130</v>
      </c>
      <c r="G127" t="s">
        <v>9</v>
      </c>
      <c r="H127">
        <v>21</v>
      </c>
      <c r="I127" t="s">
        <v>10</v>
      </c>
      <c r="J127" s="6">
        <v>44762</v>
      </c>
      <c r="K127" t="s">
        <v>16</v>
      </c>
      <c r="L127" s="27">
        <v>57090</v>
      </c>
      <c r="M127" t="s">
        <v>208</v>
      </c>
      <c r="N127" s="9">
        <f ca="1">(TODAY()-Table4[[#This Row],[Date Joined]])/365</f>
        <v>3.5287671232876714</v>
      </c>
      <c r="O127" s="27">
        <f ca="1">IF(Table4[[#This Row],[Tenure]]&gt;3,3%,2%)*Table4[[#This Row],[Salary]]</f>
        <v>1712.7</v>
      </c>
    </row>
    <row r="128" spans="6:15" x14ac:dyDescent="0.3">
      <c r="F128" t="s">
        <v>131</v>
      </c>
      <c r="G128" t="s">
        <v>13</v>
      </c>
      <c r="H128">
        <v>31</v>
      </c>
      <c r="I128" t="s">
        <v>10</v>
      </c>
      <c r="J128" s="6">
        <v>44145</v>
      </c>
      <c r="K128" t="s">
        <v>11</v>
      </c>
      <c r="L128" s="27">
        <v>41980</v>
      </c>
      <c r="M128" t="s">
        <v>208</v>
      </c>
      <c r="N128" s="9">
        <f ca="1">(TODAY()-Table4[[#This Row],[Date Joined]])/365</f>
        <v>5.2191780821917808</v>
      </c>
      <c r="O128" s="27">
        <f ca="1">IF(Table4[[#This Row],[Tenure]]&gt;3,3%,2%)*Table4[[#This Row],[Salary]]</f>
        <v>1259.3999999999999</v>
      </c>
    </row>
    <row r="129" spans="6:15" x14ac:dyDescent="0.3">
      <c r="F129" t="s">
        <v>132</v>
      </c>
      <c r="G129" t="s">
        <v>9</v>
      </c>
      <c r="H129">
        <v>21</v>
      </c>
      <c r="I129" t="s">
        <v>10</v>
      </c>
      <c r="J129" s="6">
        <v>44242</v>
      </c>
      <c r="K129" t="s">
        <v>18</v>
      </c>
      <c r="L129" s="27">
        <v>75880</v>
      </c>
      <c r="M129" t="s">
        <v>208</v>
      </c>
      <c r="N129" s="9">
        <f ca="1">(TODAY()-Table4[[#This Row],[Date Joined]])/365</f>
        <v>4.9534246575342467</v>
      </c>
      <c r="O129" s="27">
        <f ca="1">IF(Table4[[#This Row],[Tenure]]&gt;3,3%,2%)*Table4[[#This Row],[Salary]]</f>
        <v>2276.4</v>
      </c>
    </row>
    <row r="130" spans="6:15" x14ac:dyDescent="0.3">
      <c r="F130" t="s">
        <v>133</v>
      </c>
      <c r="G130" t="s">
        <v>13</v>
      </c>
      <c r="H130">
        <v>34</v>
      </c>
      <c r="I130" t="s">
        <v>10</v>
      </c>
      <c r="J130" s="6">
        <v>44653</v>
      </c>
      <c r="K130" t="s">
        <v>21</v>
      </c>
      <c r="L130" s="27">
        <v>58940</v>
      </c>
      <c r="M130" t="s">
        <v>208</v>
      </c>
      <c r="N130" s="9">
        <f ca="1">(TODAY()-Table4[[#This Row],[Date Joined]])/365</f>
        <v>3.8273972602739725</v>
      </c>
      <c r="O130" s="27">
        <f ca="1">IF(Table4[[#This Row],[Tenure]]&gt;3,3%,2%)*Table4[[#This Row],[Salary]]</f>
        <v>1768.2</v>
      </c>
    </row>
    <row r="131" spans="6:15" x14ac:dyDescent="0.3">
      <c r="F131" t="s">
        <v>134</v>
      </c>
      <c r="G131" t="s">
        <v>13</v>
      </c>
      <c r="H131">
        <v>30</v>
      </c>
      <c r="I131" t="s">
        <v>20</v>
      </c>
      <c r="J131" s="6">
        <v>44389</v>
      </c>
      <c r="K131" t="s">
        <v>21</v>
      </c>
      <c r="L131" s="27">
        <v>67910</v>
      </c>
      <c r="M131" t="s">
        <v>208</v>
      </c>
      <c r="N131" s="9">
        <f ca="1">(TODAY()-Table4[[#This Row],[Date Joined]])/365</f>
        <v>4.5506849315068489</v>
      </c>
      <c r="O131" s="27">
        <f ca="1">IF(Table4[[#This Row],[Tenure]]&gt;3,3%,2%)*Table4[[#This Row],[Salary]]</f>
        <v>2037.3</v>
      </c>
    </row>
    <row r="132" spans="6:15" x14ac:dyDescent="0.3">
      <c r="F132" t="s">
        <v>135</v>
      </c>
      <c r="G132" t="s">
        <v>13</v>
      </c>
      <c r="H132">
        <v>31</v>
      </c>
      <c r="I132" t="s">
        <v>10</v>
      </c>
      <c r="J132" s="6">
        <v>44663</v>
      </c>
      <c r="K132" t="s">
        <v>11</v>
      </c>
      <c r="L132" s="27">
        <v>58100</v>
      </c>
      <c r="M132" t="s">
        <v>208</v>
      </c>
      <c r="N132" s="9">
        <f ca="1">(TODAY()-Table4[[#This Row],[Date Joined]])/365</f>
        <v>3.8</v>
      </c>
      <c r="O132" s="27">
        <f ca="1">IF(Table4[[#This Row],[Tenure]]&gt;3,3%,2%)*Table4[[#This Row],[Salary]]</f>
        <v>1743</v>
      </c>
    </row>
    <row r="133" spans="6:15" x14ac:dyDescent="0.3">
      <c r="F133" t="s">
        <v>136</v>
      </c>
      <c r="G133" t="s">
        <v>9</v>
      </c>
      <c r="H133">
        <v>27</v>
      </c>
      <c r="I133" t="s">
        <v>10</v>
      </c>
      <c r="J133" s="6">
        <v>44567</v>
      </c>
      <c r="K133" t="s">
        <v>21</v>
      </c>
      <c r="L133" s="27">
        <v>48980</v>
      </c>
      <c r="M133" t="s">
        <v>208</v>
      </c>
      <c r="N133" s="9">
        <f ca="1">(TODAY()-Table4[[#This Row],[Date Joined]])/365</f>
        <v>4.0630136986301366</v>
      </c>
      <c r="O133" s="27">
        <f ca="1">IF(Table4[[#This Row],[Tenure]]&gt;3,3%,2%)*Table4[[#This Row],[Salary]]</f>
        <v>1469.3999999999999</v>
      </c>
    </row>
    <row r="134" spans="6:15" x14ac:dyDescent="0.3">
      <c r="F134" t="s">
        <v>137</v>
      </c>
      <c r="G134" t="s">
        <v>207</v>
      </c>
      <c r="H134">
        <v>30</v>
      </c>
      <c r="I134" t="s">
        <v>10</v>
      </c>
      <c r="J134" s="6">
        <v>44597</v>
      </c>
      <c r="K134" t="s">
        <v>21</v>
      </c>
      <c r="L134" s="27">
        <v>64000</v>
      </c>
      <c r="M134" t="s">
        <v>208</v>
      </c>
      <c r="N134" s="9">
        <f ca="1">(TODAY()-Table4[[#This Row],[Date Joined]])/365</f>
        <v>3.9808219178082194</v>
      </c>
      <c r="O134" s="27">
        <f ca="1">IF(Table4[[#This Row],[Tenure]]&gt;3,3%,2%)*Table4[[#This Row],[Salary]]</f>
        <v>1920</v>
      </c>
    </row>
    <row r="135" spans="6:15" x14ac:dyDescent="0.3">
      <c r="F135" t="s">
        <v>138</v>
      </c>
      <c r="G135" t="s">
        <v>13</v>
      </c>
      <c r="H135">
        <v>42</v>
      </c>
      <c r="I135" t="s">
        <v>42</v>
      </c>
      <c r="J135" s="6">
        <v>44779</v>
      </c>
      <c r="K135" t="s">
        <v>16</v>
      </c>
      <c r="L135" s="27">
        <v>75000</v>
      </c>
      <c r="M135" t="s">
        <v>208</v>
      </c>
      <c r="N135" s="9">
        <f ca="1">(TODAY()-Table4[[#This Row],[Date Joined]])/365</f>
        <v>3.4821917808219176</v>
      </c>
      <c r="O135" s="27">
        <f ca="1">IF(Table4[[#This Row],[Tenure]]&gt;3,3%,2%)*Table4[[#This Row],[Salary]]</f>
        <v>2250</v>
      </c>
    </row>
    <row r="136" spans="6:15" x14ac:dyDescent="0.3">
      <c r="F136" t="s">
        <v>139</v>
      </c>
      <c r="G136" t="s">
        <v>13</v>
      </c>
      <c r="H136">
        <v>40</v>
      </c>
      <c r="I136" t="s">
        <v>10</v>
      </c>
      <c r="J136" s="6">
        <v>44337</v>
      </c>
      <c r="K136" t="s">
        <v>11</v>
      </c>
      <c r="L136" s="27">
        <v>87620</v>
      </c>
      <c r="M136" t="s">
        <v>208</v>
      </c>
      <c r="N136" s="9">
        <f ca="1">(TODAY()-Table4[[#This Row],[Date Joined]])/365</f>
        <v>4.6931506849315072</v>
      </c>
      <c r="O136" s="27">
        <f ca="1">IF(Table4[[#This Row],[Tenure]]&gt;3,3%,2%)*Table4[[#This Row],[Salary]]</f>
        <v>2628.6</v>
      </c>
    </row>
    <row r="137" spans="6:15" x14ac:dyDescent="0.3">
      <c r="F137" t="s">
        <v>140</v>
      </c>
      <c r="G137" t="s">
        <v>13</v>
      </c>
      <c r="H137">
        <v>29</v>
      </c>
      <c r="I137" t="s">
        <v>10</v>
      </c>
      <c r="J137" s="6">
        <v>44023</v>
      </c>
      <c r="K137" t="s">
        <v>11</v>
      </c>
      <c r="L137" s="27">
        <v>34980</v>
      </c>
      <c r="M137" t="s">
        <v>208</v>
      </c>
      <c r="N137" s="9">
        <f ca="1">(TODAY()-Table4[[#This Row],[Date Joined]])/365</f>
        <v>5.5534246575342463</v>
      </c>
      <c r="O137" s="27">
        <f ca="1">IF(Table4[[#This Row],[Tenure]]&gt;3,3%,2%)*Table4[[#This Row],[Salary]]</f>
        <v>1049.3999999999999</v>
      </c>
    </row>
    <row r="138" spans="6:15" x14ac:dyDescent="0.3">
      <c r="F138" t="s">
        <v>141</v>
      </c>
      <c r="G138" t="s">
        <v>13</v>
      </c>
      <c r="H138">
        <v>28</v>
      </c>
      <c r="I138" t="s">
        <v>10</v>
      </c>
      <c r="J138" s="6">
        <v>44185</v>
      </c>
      <c r="K138" t="s">
        <v>21</v>
      </c>
      <c r="L138" s="27">
        <v>75970</v>
      </c>
      <c r="M138" t="s">
        <v>208</v>
      </c>
      <c r="N138" s="9">
        <f ca="1">(TODAY()-Table4[[#This Row],[Date Joined]])/365</f>
        <v>5.1095890410958908</v>
      </c>
      <c r="O138" s="27">
        <f ca="1">IF(Table4[[#This Row],[Tenure]]&gt;3,3%,2%)*Table4[[#This Row],[Salary]]</f>
        <v>2279.1</v>
      </c>
    </row>
    <row r="139" spans="6:15" x14ac:dyDescent="0.3">
      <c r="F139" t="s">
        <v>142</v>
      </c>
      <c r="G139" t="s">
        <v>13</v>
      </c>
      <c r="H139">
        <v>34</v>
      </c>
      <c r="I139" t="s">
        <v>10</v>
      </c>
      <c r="J139" s="6">
        <v>44612</v>
      </c>
      <c r="K139" t="s">
        <v>21</v>
      </c>
      <c r="L139" s="27">
        <v>60130</v>
      </c>
      <c r="M139" t="s">
        <v>208</v>
      </c>
      <c r="N139" s="9">
        <f ca="1">(TODAY()-Table4[[#This Row],[Date Joined]])/365</f>
        <v>3.9397260273972603</v>
      </c>
      <c r="O139" s="27">
        <f ca="1">IF(Table4[[#This Row],[Tenure]]&gt;3,3%,2%)*Table4[[#This Row],[Salary]]</f>
        <v>1803.8999999999999</v>
      </c>
    </row>
    <row r="140" spans="6:15" x14ac:dyDescent="0.3">
      <c r="F140" t="s">
        <v>143</v>
      </c>
      <c r="G140" t="s">
        <v>13</v>
      </c>
      <c r="H140">
        <v>33</v>
      </c>
      <c r="I140" t="s">
        <v>82</v>
      </c>
      <c r="J140" s="6">
        <v>44374</v>
      </c>
      <c r="K140" t="s">
        <v>11</v>
      </c>
      <c r="L140" s="27">
        <v>75480</v>
      </c>
      <c r="M140" t="s">
        <v>208</v>
      </c>
      <c r="N140" s="9">
        <f ca="1">(TODAY()-Table4[[#This Row],[Date Joined]])/365</f>
        <v>4.5917808219178085</v>
      </c>
      <c r="O140" s="27">
        <f ca="1">IF(Table4[[#This Row],[Tenure]]&gt;3,3%,2%)*Table4[[#This Row],[Salary]]</f>
        <v>2264.4</v>
      </c>
    </row>
    <row r="141" spans="6:15" x14ac:dyDescent="0.3">
      <c r="F141" t="s">
        <v>144</v>
      </c>
      <c r="G141" t="s">
        <v>9</v>
      </c>
      <c r="H141">
        <v>33</v>
      </c>
      <c r="I141" t="s">
        <v>10</v>
      </c>
      <c r="J141" s="6">
        <v>44164</v>
      </c>
      <c r="K141" t="s">
        <v>16</v>
      </c>
      <c r="L141" s="27">
        <v>115920</v>
      </c>
      <c r="M141" t="s">
        <v>208</v>
      </c>
      <c r="N141" s="9">
        <f ca="1">(TODAY()-Table4[[#This Row],[Date Joined]])/365</f>
        <v>5.1671232876712327</v>
      </c>
      <c r="O141" s="27">
        <f ca="1">IF(Table4[[#This Row],[Tenure]]&gt;3,3%,2%)*Table4[[#This Row],[Salary]]</f>
        <v>3477.6</v>
      </c>
    </row>
    <row r="142" spans="6:15" x14ac:dyDescent="0.3">
      <c r="F142" t="s">
        <v>145</v>
      </c>
      <c r="G142" t="s">
        <v>13</v>
      </c>
      <c r="H142">
        <v>36</v>
      </c>
      <c r="I142" t="s">
        <v>10</v>
      </c>
      <c r="J142" s="6">
        <v>44494</v>
      </c>
      <c r="K142" t="s">
        <v>23</v>
      </c>
      <c r="L142" s="27">
        <v>78540</v>
      </c>
      <c r="M142" t="s">
        <v>208</v>
      </c>
      <c r="N142" s="9">
        <f ca="1">(TODAY()-Table4[[#This Row],[Date Joined]])/365</f>
        <v>4.2630136986301368</v>
      </c>
      <c r="O142" s="27">
        <f ca="1">IF(Table4[[#This Row],[Tenure]]&gt;3,3%,2%)*Table4[[#This Row],[Salary]]</f>
        <v>2356.1999999999998</v>
      </c>
    </row>
    <row r="143" spans="6:15" x14ac:dyDescent="0.3">
      <c r="F143" t="s">
        <v>146</v>
      </c>
      <c r="G143" t="s">
        <v>9</v>
      </c>
      <c r="H143">
        <v>25</v>
      </c>
      <c r="I143" t="s">
        <v>14</v>
      </c>
      <c r="J143" s="6">
        <v>44726</v>
      </c>
      <c r="K143" t="s">
        <v>16</v>
      </c>
      <c r="L143" s="27">
        <v>109190</v>
      </c>
      <c r="M143" t="s">
        <v>208</v>
      </c>
      <c r="N143" s="9">
        <f ca="1">(TODAY()-Table4[[#This Row],[Date Joined]])/365</f>
        <v>3.6273972602739728</v>
      </c>
      <c r="O143" s="27">
        <f ca="1">IF(Table4[[#This Row],[Tenure]]&gt;3,3%,2%)*Table4[[#This Row],[Salary]]</f>
        <v>3275.7</v>
      </c>
    </row>
    <row r="144" spans="6:15" x14ac:dyDescent="0.3">
      <c r="F144" t="s">
        <v>147</v>
      </c>
      <c r="G144" t="s">
        <v>13</v>
      </c>
      <c r="H144">
        <v>34</v>
      </c>
      <c r="I144" t="s">
        <v>20</v>
      </c>
      <c r="J144" s="6">
        <v>44721</v>
      </c>
      <c r="K144" t="s">
        <v>23</v>
      </c>
      <c r="L144" s="27">
        <v>49630</v>
      </c>
      <c r="M144" t="s">
        <v>208</v>
      </c>
      <c r="N144" s="9">
        <f ca="1">(TODAY()-Table4[[#This Row],[Date Joined]])/365</f>
        <v>3.6410958904109587</v>
      </c>
      <c r="O144" s="27">
        <f ca="1">IF(Table4[[#This Row],[Tenure]]&gt;3,3%,2%)*Table4[[#This Row],[Salary]]</f>
        <v>1488.8999999999999</v>
      </c>
    </row>
    <row r="145" spans="6:15" x14ac:dyDescent="0.3">
      <c r="F145" t="s">
        <v>148</v>
      </c>
      <c r="G145" t="s">
        <v>13</v>
      </c>
      <c r="H145">
        <v>28</v>
      </c>
      <c r="I145" t="s">
        <v>10</v>
      </c>
      <c r="J145" s="6">
        <v>44630</v>
      </c>
      <c r="K145" t="s">
        <v>16</v>
      </c>
      <c r="L145" s="27">
        <v>99970</v>
      </c>
      <c r="M145" t="s">
        <v>208</v>
      </c>
      <c r="N145" s="9">
        <f ca="1">(TODAY()-Table4[[#This Row],[Date Joined]])/365</f>
        <v>3.8904109589041096</v>
      </c>
      <c r="O145" s="27">
        <f ca="1">IF(Table4[[#This Row],[Tenure]]&gt;3,3%,2%)*Table4[[#This Row],[Salary]]</f>
        <v>2999.1</v>
      </c>
    </row>
    <row r="146" spans="6:15" x14ac:dyDescent="0.3">
      <c r="F146" t="s">
        <v>149</v>
      </c>
      <c r="G146" t="s">
        <v>13</v>
      </c>
      <c r="H146">
        <v>33</v>
      </c>
      <c r="I146" t="s">
        <v>10</v>
      </c>
      <c r="J146" s="6">
        <v>44190</v>
      </c>
      <c r="K146" t="s">
        <v>11</v>
      </c>
      <c r="L146" s="27">
        <v>96140</v>
      </c>
      <c r="M146" t="s">
        <v>208</v>
      </c>
      <c r="N146" s="9">
        <f ca="1">(TODAY()-Table4[[#This Row],[Date Joined]])/365</f>
        <v>5.095890410958904</v>
      </c>
      <c r="O146" s="27">
        <f ca="1">IF(Table4[[#This Row],[Tenure]]&gt;3,3%,2%)*Table4[[#This Row],[Salary]]</f>
        <v>2884.2</v>
      </c>
    </row>
    <row r="147" spans="6:15" x14ac:dyDescent="0.3">
      <c r="F147" t="s">
        <v>150</v>
      </c>
      <c r="G147" t="s">
        <v>9</v>
      </c>
      <c r="H147">
        <v>31</v>
      </c>
      <c r="I147" t="s">
        <v>10</v>
      </c>
      <c r="J147" s="6">
        <v>44724</v>
      </c>
      <c r="K147" t="s">
        <v>16</v>
      </c>
      <c r="L147" s="27">
        <v>103550</v>
      </c>
      <c r="M147" t="s">
        <v>208</v>
      </c>
      <c r="N147" s="9">
        <f ca="1">(TODAY()-Table4[[#This Row],[Date Joined]])/365</f>
        <v>3.6328767123287671</v>
      </c>
      <c r="O147" s="27">
        <f ca="1">IF(Table4[[#This Row],[Tenure]]&gt;3,3%,2%)*Table4[[#This Row],[Salary]]</f>
        <v>3106.5</v>
      </c>
    </row>
    <row r="148" spans="6:15" x14ac:dyDescent="0.3">
      <c r="F148" t="s">
        <v>151</v>
      </c>
      <c r="G148" t="s">
        <v>9</v>
      </c>
      <c r="H148">
        <v>31</v>
      </c>
      <c r="I148" t="s">
        <v>10</v>
      </c>
      <c r="J148" s="6">
        <v>44511</v>
      </c>
      <c r="K148" t="s">
        <v>11</v>
      </c>
      <c r="L148" s="27">
        <v>48950</v>
      </c>
      <c r="M148" t="s">
        <v>208</v>
      </c>
      <c r="N148" s="9">
        <f ca="1">(TODAY()-Table4[[#This Row],[Date Joined]])/365</f>
        <v>4.2164383561643834</v>
      </c>
      <c r="O148" s="27">
        <f ca="1">IF(Table4[[#This Row],[Tenure]]&gt;3,3%,2%)*Table4[[#This Row],[Salary]]</f>
        <v>1468.5</v>
      </c>
    </row>
    <row r="149" spans="6:15" x14ac:dyDescent="0.3">
      <c r="F149" t="s">
        <v>152</v>
      </c>
      <c r="G149" t="s">
        <v>9</v>
      </c>
      <c r="H149">
        <v>24</v>
      </c>
      <c r="I149" t="s">
        <v>20</v>
      </c>
      <c r="J149" s="6">
        <v>44436</v>
      </c>
      <c r="K149" t="s">
        <v>21</v>
      </c>
      <c r="L149" s="27">
        <v>52610</v>
      </c>
      <c r="M149" t="s">
        <v>208</v>
      </c>
      <c r="N149" s="9">
        <f ca="1">(TODAY()-Table4[[#This Row],[Date Joined]])/365</f>
        <v>4.4219178082191783</v>
      </c>
      <c r="O149" s="27">
        <f ca="1">IF(Table4[[#This Row],[Tenure]]&gt;3,3%,2%)*Table4[[#This Row],[Salary]]</f>
        <v>1578.3</v>
      </c>
    </row>
    <row r="150" spans="6:15" x14ac:dyDescent="0.3">
      <c r="F150" t="s">
        <v>153</v>
      </c>
      <c r="G150" t="s">
        <v>13</v>
      </c>
      <c r="H150">
        <v>36</v>
      </c>
      <c r="I150" t="s">
        <v>10</v>
      </c>
      <c r="J150" s="6">
        <v>44529</v>
      </c>
      <c r="K150" t="s">
        <v>16</v>
      </c>
      <c r="L150" s="27">
        <v>78390</v>
      </c>
      <c r="M150" t="s">
        <v>208</v>
      </c>
      <c r="N150" s="9">
        <f ca="1">(TODAY()-Table4[[#This Row],[Date Joined]])/365</f>
        <v>4.1671232876712327</v>
      </c>
      <c r="O150" s="27">
        <f ca="1">IF(Table4[[#This Row],[Tenure]]&gt;3,3%,2%)*Table4[[#This Row],[Salary]]</f>
        <v>2351.6999999999998</v>
      </c>
    </row>
    <row r="151" spans="6:15" x14ac:dyDescent="0.3">
      <c r="F151" t="s">
        <v>154</v>
      </c>
      <c r="G151" t="s">
        <v>13</v>
      </c>
      <c r="H151">
        <v>33</v>
      </c>
      <c r="I151" t="s">
        <v>10</v>
      </c>
      <c r="J151" s="6">
        <v>44809</v>
      </c>
      <c r="K151" t="s">
        <v>21</v>
      </c>
      <c r="L151" s="27">
        <v>86570</v>
      </c>
      <c r="M151" t="s">
        <v>208</v>
      </c>
      <c r="N151" s="9">
        <f ca="1">(TODAY()-Table4[[#This Row],[Date Joined]])/365</f>
        <v>3.4</v>
      </c>
      <c r="O151" s="27">
        <f ca="1">IF(Table4[[#This Row],[Tenure]]&gt;3,3%,2%)*Table4[[#This Row],[Salary]]</f>
        <v>2597.1</v>
      </c>
    </row>
    <row r="152" spans="6:15" x14ac:dyDescent="0.3">
      <c r="F152" t="s">
        <v>155</v>
      </c>
      <c r="G152" t="s">
        <v>13</v>
      </c>
      <c r="H152">
        <v>27</v>
      </c>
      <c r="I152" t="s">
        <v>10</v>
      </c>
      <c r="J152" s="6">
        <v>44686</v>
      </c>
      <c r="K152" t="s">
        <v>11</v>
      </c>
      <c r="L152" s="27">
        <v>83750</v>
      </c>
      <c r="M152" t="s">
        <v>208</v>
      </c>
      <c r="N152" s="9">
        <f ca="1">(TODAY()-Table4[[#This Row],[Date Joined]])/365</f>
        <v>3.7369863013698632</v>
      </c>
      <c r="O152" s="27">
        <f ca="1">IF(Table4[[#This Row],[Tenure]]&gt;3,3%,2%)*Table4[[#This Row],[Salary]]</f>
        <v>2512.5</v>
      </c>
    </row>
    <row r="153" spans="6:15" x14ac:dyDescent="0.3">
      <c r="F153" t="s">
        <v>156</v>
      </c>
      <c r="G153" t="s">
        <v>13</v>
      </c>
      <c r="H153">
        <v>34</v>
      </c>
      <c r="I153" t="s">
        <v>10</v>
      </c>
      <c r="J153" s="6">
        <v>44445</v>
      </c>
      <c r="K153" t="s">
        <v>21</v>
      </c>
      <c r="L153" s="27">
        <v>92450</v>
      </c>
      <c r="M153" t="s">
        <v>208</v>
      </c>
      <c r="N153" s="9">
        <f ca="1">(TODAY()-Table4[[#This Row],[Date Joined]])/365</f>
        <v>4.397260273972603</v>
      </c>
      <c r="O153" s="27">
        <f ca="1">IF(Table4[[#This Row],[Tenure]]&gt;3,3%,2%)*Table4[[#This Row],[Salary]]</f>
        <v>2773.5</v>
      </c>
    </row>
    <row r="154" spans="6:15" x14ac:dyDescent="0.3">
      <c r="F154" t="s">
        <v>157</v>
      </c>
      <c r="G154" t="s">
        <v>9</v>
      </c>
      <c r="H154">
        <v>20</v>
      </c>
      <c r="I154" t="s">
        <v>10</v>
      </c>
      <c r="J154" s="6">
        <v>44183</v>
      </c>
      <c r="K154" t="s">
        <v>11</v>
      </c>
      <c r="L154" s="27">
        <v>112650</v>
      </c>
      <c r="M154" t="s">
        <v>208</v>
      </c>
      <c r="N154" s="9">
        <f ca="1">(TODAY()-Table4[[#This Row],[Date Joined]])/365</f>
        <v>5.1150684931506847</v>
      </c>
      <c r="O154" s="27">
        <f ca="1">IF(Table4[[#This Row],[Tenure]]&gt;3,3%,2%)*Table4[[#This Row],[Salary]]</f>
        <v>3379.5</v>
      </c>
    </row>
    <row r="155" spans="6:15" x14ac:dyDescent="0.3">
      <c r="F155" t="s">
        <v>158</v>
      </c>
      <c r="G155" t="s">
        <v>9</v>
      </c>
      <c r="H155">
        <v>20</v>
      </c>
      <c r="I155" t="s">
        <v>10</v>
      </c>
      <c r="J155" s="6">
        <v>44744</v>
      </c>
      <c r="K155" t="s">
        <v>16</v>
      </c>
      <c r="L155" s="27">
        <v>79570</v>
      </c>
      <c r="M155" t="s">
        <v>208</v>
      </c>
      <c r="N155" s="9">
        <f ca="1">(TODAY()-Table4[[#This Row],[Date Joined]])/365</f>
        <v>3.5780821917808221</v>
      </c>
      <c r="O155" s="27">
        <f ca="1">IF(Table4[[#This Row],[Tenure]]&gt;3,3%,2%)*Table4[[#This Row],[Salary]]</f>
        <v>2387.1</v>
      </c>
    </row>
    <row r="156" spans="6:15" x14ac:dyDescent="0.3">
      <c r="F156" t="s">
        <v>159</v>
      </c>
      <c r="G156" t="s">
        <v>13</v>
      </c>
      <c r="H156">
        <v>20</v>
      </c>
      <c r="I156" t="s">
        <v>20</v>
      </c>
      <c r="J156" s="6">
        <v>44537</v>
      </c>
      <c r="K156" t="s">
        <v>23</v>
      </c>
      <c r="L156" s="27">
        <v>68900</v>
      </c>
      <c r="M156" t="s">
        <v>208</v>
      </c>
      <c r="N156" s="9">
        <f ca="1">(TODAY()-Table4[[#This Row],[Date Joined]])/365</f>
        <v>4.1452054794520548</v>
      </c>
      <c r="O156" s="27">
        <f ca="1">IF(Table4[[#This Row],[Tenure]]&gt;3,3%,2%)*Table4[[#This Row],[Salary]]</f>
        <v>2067</v>
      </c>
    </row>
    <row r="157" spans="6:15" x14ac:dyDescent="0.3">
      <c r="F157" t="s">
        <v>160</v>
      </c>
      <c r="G157" t="s">
        <v>13</v>
      </c>
      <c r="H157">
        <v>25</v>
      </c>
      <c r="I157" t="s">
        <v>14</v>
      </c>
      <c r="J157" s="6">
        <v>44694</v>
      </c>
      <c r="K157" t="s">
        <v>11</v>
      </c>
      <c r="L157" s="27">
        <v>80700</v>
      </c>
      <c r="M157" t="s">
        <v>208</v>
      </c>
      <c r="N157" s="9">
        <f ca="1">(TODAY()-Table4[[#This Row],[Date Joined]])/365</f>
        <v>3.7150684931506848</v>
      </c>
      <c r="O157" s="27">
        <f ca="1">IF(Table4[[#This Row],[Tenure]]&gt;3,3%,2%)*Table4[[#This Row],[Salary]]</f>
        <v>2421</v>
      </c>
    </row>
    <row r="158" spans="6:15" x14ac:dyDescent="0.3">
      <c r="F158" t="s">
        <v>161</v>
      </c>
      <c r="G158" t="s">
        <v>9</v>
      </c>
      <c r="H158">
        <v>19</v>
      </c>
      <c r="I158" t="s">
        <v>10</v>
      </c>
      <c r="J158" s="6">
        <v>44277</v>
      </c>
      <c r="K158" t="s">
        <v>16</v>
      </c>
      <c r="L158" s="27">
        <v>58960</v>
      </c>
      <c r="M158" t="s">
        <v>208</v>
      </c>
      <c r="N158" s="9">
        <f ca="1">(TODAY()-Table4[[#This Row],[Date Joined]])/365</f>
        <v>4.8575342465753426</v>
      </c>
      <c r="O158" s="27">
        <f ca="1">IF(Table4[[#This Row],[Tenure]]&gt;3,3%,2%)*Table4[[#This Row],[Salary]]</f>
        <v>1768.8</v>
      </c>
    </row>
    <row r="159" spans="6:15" x14ac:dyDescent="0.3">
      <c r="F159" t="s">
        <v>162</v>
      </c>
      <c r="G159" t="s">
        <v>9</v>
      </c>
      <c r="H159">
        <v>36</v>
      </c>
      <c r="I159" t="s">
        <v>10</v>
      </c>
      <c r="J159" s="6">
        <v>44019</v>
      </c>
      <c r="K159" t="s">
        <v>11</v>
      </c>
      <c r="L159" s="27">
        <v>118840</v>
      </c>
      <c r="M159" t="s">
        <v>208</v>
      </c>
      <c r="N159" s="9">
        <f ca="1">(TODAY()-Table4[[#This Row],[Date Joined]])/365</f>
        <v>5.5643835616438357</v>
      </c>
      <c r="O159" s="27">
        <f ca="1">IF(Table4[[#This Row],[Tenure]]&gt;3,3%,2%)*Table4[[#This Row],[Salary]]</f>
        <v>3565.2</v>
      </c>
    </row>
    <row r="160" spans="6:15" x14ac:dyDescent="0.3">
      <c r="F160" t="s">
        <v>163</v>
      </c>
      <c r="G160" t="s">
        <v>9</v>
      </c>
      <c r="H160">
        <v>28</v>
      </c>
      <c r="I160" t="s">
        <v>14</v>
      </c>
      <c r="J160" s="6">
        <v>44041</v>
      </c>
      <c r="K160" t="s">
        <v>21</v>
      </c>
      <c r="L160" s="27">
        <v>48170</v>
      </c>
      <c r="M160" t="s">
        <v>208</v>
      </c>
      <c r="N160" s="9">
        <f ca="1">(TODAY()-Table4[[#This Row],[Date Joined]])/365</f>
        <v>5.5041095890410956</v>
      </c>
      <c r="O160" s="27">
        <f ca="1">IF(Table4[[#This Row],[Tenure]]&gt;3,3%,2%)*Table4[[#This Row],[Salary]]</f>
        <v>1445.1</v>
      </c>
    </row>
    <row r="161" spans="6:15" x14ac:dyDescent="0.3">
      <c r="F161" t="s">
        <v>164</v>
      </c>
      <c r="G161" t="s">
        <v>13</v>
      </c>
      <c r="H161">
        <v>32</v>
      </c>
      <c r="I161" t="s">
        <v>10</v>
      </c>
      <c r="J161" s="6">
        <v>44400</v>
      </c>
      <c r="K161" t="s">
        <v>18</v>
      </c>
      <c r="L161" s="27">
        <v>45510</v>
      </c>
      <c r="M161" t="s">
        <v>208</v>
      </c>
      <c r="N161" s="9">
        <f ca="1">(TODAY()-Table4[[#This Row],[Date Joined]])/365</f>
        <v>4.5205479452054798</v>
      </c>
      <c r="O161" s="27">
        <f ca="1">IF(Table4[[#This Row],[Tenure]]&gt;3,3%,2%)*Table4[[#This Row],[Salary]]</f>
        <v>1365.3</v>
      </c>
    </row>
    <row r="162" spans="6:15" x14ac:dyDescent="0.3">
      <c r="F162" t="s">
        <v>165</v>
      </c>
      <c r="G162" t="s">
        <v>13</v>
      </c>
      <c r="H162">
        <v>36</v>
      </c>
      <c r="I162" t="s">
        <v>10</v>
      </c>
      <c r="J162" s="6">
        <v>44085</v>
      </c>
      <c r="K162" t="s">
        <v>16</v>
      </c>
      <c r="L162" s="27">
        <v>114890</v>
      </c>
      <c r="M162" t="s">
        <v>208</v>
      </c>
      <c r="N162" s="9">
        <f ca="1">(TODAY()-Table4[[#This Row],[Date Joined]])/365</f>
        <v>5.3835616438356162</v>
      </c>
      <c r="O162" s="27">
        <f ca="1">IF(Table4[[#This Row],[Tenure]]&gt;3,3%,2%)*Table4[[#This Row],[Salary]]</f>
        <v>3446.7</v>
      </c>
    </row>
    <row r="163" spans="6:15" x14ac:dyDescent="0.3">
      <c r="F163" t="s">
        <v>166</v>
      </c>
      <c r="G163" t="s">
        <v>9</v>
      </c>
      <c r="H163">
        <v>30</v>
      </c>
      <c r="I163" t="s">
        <v>10</v>
      </c>
      <c r="J163" s="6">
        <v>44850</v>
      </c>
      <c r="K163" t="s">
        <v>11</v>
      </c>
      <c r="L163" s="27">
        <v>69710</v>
      </c>
      <c r="M163" t="s">
        <v>208</v>
      </c>
      <c r="N163" s="9">
        <f ca="1">(TODAY()-Table4[[#This Row],[Date Joined]])/365</f>
        <v>3.2876712328767121</v>
      </c>
      <c r="O163" s="27">
        <f ca="1">IF(Table4[[#This Row],[Tenure]]&gt;3,3%,2%)*Table4[[#This Row],[Salary]]</f>
        <v>2091.2999999999997</v>
      </c>
    </row>
    <row r="164" spans="6:15" x14ac:dyDescent="0.3">
      <c r="F164" t="s">
        <v>167</v>
      </c>
      <c r="G164" t="s">
        <v>9</v>
      </c>
      <c r="H164">
        <v>36</v>
      </c>
      <c r="I164" t="s">
        <v>10</v>
      </c>
      <c r="J164" s="6">
        <v>44333</v>
      </c>
      <c r="K164" t="s">
        <v>21</v>
      </c>
      <c r="L164" s="27">
        <v>71380</v>
      </c>
      <c r="M164" t="s">
        <v>208</v>
      </c>
      <c r="N164" s="9">
        <f ca="1">(TODAY()-Table4[[#This Row],[Date Joined]])/365</f>
        <v>4.7041095890410958</v>
      </c>
      <c r="O164" s="27">
        <f ca="1">IF(Table4[[#This Row],[Tenure]]&gt;3,3%,2%)*Table4[[#This Row],[Salary]]</f>
        <v>2141.4</v>
      </c>
    </row>
    <row r="165" spans="6:15" x14ac:dyDescent="0.3">
      <c r="F165" t="s">
        <v>168</v>
      </c>
      <c r="G165" t="s">
        <v>13</v>
      </c>
      <c r="H165">
        <v>38</v>
      </c>
      <c r="I165" t="s">
        <v>42</v>
      </c>
      <c r="J165" s="6">
        <v>44377</v>
      </c>
      <c r="K165" t="s">
        <v>23</v>
      </c>
      <c r="L165" s="27">
        <v>109160</v>
      </c>
      <c r="M165" t="s">
        <v>208</v>
      </c>
      <c r="N165" s="9">
        <f ca="1">(TODAY()-Table4[[#This Row],[Date Joined]])/365</f>
        <v>4.5835616438356164</v>
      </c>
      <c r="O165" s="27">
        <f ca="1">IF(Table4[[#This Row],[Tenure]]&gt;3,3%,2%)*Table4[[#This Row],[Salary]]</f>
        <v>3274.7999999999997</v>
      </c>
    </row>
    <row r="166" spans="6:15" x14ac:dyDescent="0.3">
      <c r="F166" t="s">
        <v>169</v>
      </c>
      <c r="G166" t="s">
        <v>9</v>
      </c>
      <c r="H166">
        <v>27</v>
      </c>
      <c r="I166" t="s">
        <v>82</v>
      </c>
      <c r="J166" s="6">
        <v>44609</v>
      </c>
      <c r="K166" t="s">
        <v>16</v>
      </c>
      <c r="L166" s="27">
        <v>113280</v>
      </c>
      <c r="M166" t="s">
        <v>208</v>
      </c>
      <c r="N166" s="9">
        <f ca="1">(TODAY()-Table4[[#This Row],[Date Joined]])/365</f>
        <v>3.9479452054794519</v>
      </c>
      <c r="O166" s="27">
        <f ca="1">IF(Table4[[#This Row],[Tenure]]&gt;3,3%,2%)*Table4[[#This Row],[Salary]]</f>
        <v>3398.4</v>
      </c>
    </row>
    <row r="167" spans="6:15" x14ac:dyDescent="0.3">
      <c r="F167" t="s">
        <v>170</v>
      </c>
      <c r="G167" t="s">
        <v>9</v>
      </c>
      <c r="H167">
        <v>30</v>
      </c>
      <c r="I167" t="s">
        <v>10</v>
      </c>
      <c r="J167" s="6">
        <v>44273</v>
      </c>
      <c r="K167" t="s">
        <v>11</v>
      </c>
      <c r="L167" s="27">
        <v>69120</v>
      </c>
      <c r="M167" t="s">
        <v>208</v>
      </c>
      <c r="N167" s="9">
        <f ca="1">(TODAY()-Table4[[#This Row],[Date Joined]])/365</f>
        <v>4.8684931506849312</v>
      </c>
      <c r="O167" s="27">
        <f ca="1">IF(Table4[[#This Row],[Tenure]]&gt;3,3%,2%)*Table4[[#This Row],[Salary]]</f>
        <v>2073.6</v>
      </c>
    </row>
    <row r="168" spans="6:15" x14ac:dyDescent="0.3">
      <c r="F168" t="s">
        <v>171</v>
      </c>
      <c r="G168" t="s">
        <v>13</v>
      </c>
      <c r="H168">
        <v>37</v>
      </c>
      <c r="I168" t="s">
        <v>10</v>
      </c>
      <c r="J168" s="6">
        <v>44451</v>
      </c>
      <c r="K168" t="s">
        <v>18</v>
      </c>
      <c r="L168" s="27">
        <v>118100</v>
      </c>
      <c r="M168" t="s">
        <v>208</v>
      </c>
      <c r="N168" s="9">
        <f ca="1">(TODAY()-Table4[[#This Row],[Date Joined]])/365</f>
        <v>4.3808219178082188</v>
      </c>
      <c r="O168" s="27">
        <f ca="1">IF(Table4[[#This Row],[Tenure]]&gt;3,3%,2%)*Table4[[#This Row],[Salary]]</f>
        <v>3543</v>
      </c>
    </row>
    <row r="169" spans="6:15" x14ac:dyDescent="0.3">
      <c r="F169" t="s">
        <v>172</v>
      </c>
      <c r="G169" t="s">
        <v>13</v>
      </c>
      <c r="H169">
        <v>22</v>
      </c>
      <c r="I169" t="s">
        <v>14</v>
      </c>
      <c r="J169" s="6">
        <v>44450</v>
      </c>
      <c r="K169" t="s">
        <v>16</v>
      </c>
      <c r="L169" s="27">
        <v>76900</v>
      </c>
      <c r="M169" t="s">
        <v>208</v>
      </c>
      <c r="N169" s="9">
        <f ca="1">(TODAY()-Table4[[#This Row],[Date Joined]])/365</f>
        <v>4.3835616438356162</v>
      </c>
      <c r="O169" s="27">
        <f ca="1">IF(Table4[[#This Row],[Tenure]]&gt;3,3%,2%)*Table4[[#This Row],[Salary]]</f>
        <v>2307</v>
      </c>
    </row>
    <row r="170" spans="6:15" x14ac:dyDescent="0.3">
      <c r="F170" t="s">
        <v>173</v>
      </c>
      <c r="G170" t="s">
        <v>13</v>
      </c>
      <c r="H170">
        <v>43</v>
      </c>
      <c r="I170" t="s">
        <v>10</v>
      </c>
      <c r="J170" s="6">
        <v>45045</v>
      </c>
      <c r="K170" t="s">
        <v>11</v>
      </c>
      <c r="L170" s="27">
        <v>114870</v>
      </c>
      <c r="M170" t="s">
        <v>208</v>
      </c>
      <c r="N170" s="9">
        <f ca="1">(TODAY()-Table4[[#This Row],[Date Joined]])/365</f>
        <v>2.7534246575342465</v>
      </c>
      <c r="O170" s="27">
        <f ca="1">IF(Table4[[#This Row],[Tenure]]&gt;3,3%,2%)*Table4[[#This Row],[Salary]]</f>
        <v>2297.4</v>
      </c>
    </row>
    <row r="171" spans="6:15" x14ac:dyDescent="0.3">
      <c r="F171" t="s">
        <v>174</v>
      </c>
      <c r="G171" t="s">
        <v>207</v>
      </c>
      <c r="H171">
        <v>32</v>
      </c>
      <c r="I171" t="s">
        <v>10</v>
      </c>
      <c r="J171" s="6">
        <v>44774</v>
      </c>
      <c r="K171" t="s">
        <v>11</v>
      </c>
      <c r="L171" s="27">
        <v>91310</v>
      </c>
      <c r="M171" t="s">
        <v>208</v>
      </c>
      <c r="N171" s="9">
        <f ca="1">(TODAY()-Table4[[#This Row],[Date Joined]])/365</f>
        <v>3.495890410958904</v>
      </c>
      <c r="O171" s="27">
        <f ca="1">IF(Table4[[#This Row],[Tenure]]&gt;3,3%,2%)*Table4[[#This Row],[Salary]]</f>
        <v>2739.2999999999997</v>
      </c>
    </row>
    <row r="172" spans="6:15" x14ac:dyDescent="0.3">
      <c r="F172" t="s">
        <v>175</v>
      </c>
      <c r="G172" t="s">
        <v>13</v>
      </c>
      <c r="H172">
        <v>28</v>
      </c>
      <c r="I172" t="s">
        <v>10</v>
      </c>
      <c r="J172" s="6">
        <v>44486</v>
      </c>
      <c r="K172" t="s">
        <v>16</v>
      </c>
      <c r="L172" s="27">
        <v>104770</v>
      </c>
      <c r="M172" t="s">
        <v>208</v>
      </c>
      <c r="N172" s="9">
        <f ca="1">(TODAY()-Table4[[#This Row],[Date Joined]])/365</f>
        <v>4.2849315068493148</v>
      </c>
      <c r="O172" s="27">
        <f ca="1">IF(Table4[[#This Row],[Tenure]]&gt;3,3%,2%)*Table4[[#This Row],[Salary]]</f>
        <v>3143.1</v>
      </c>
    </row>
    <row r="173" spans="6:15" x14ac:dyDescent="0.3">
      <c r="F173" t="s">
        <v>176</v>
      </c>
      <c r="G173" t="s">
        <v>9</v>
      </c>
      <c r="H173">
        <v>27</v>
      </c>
      <c r="I173" t="s">
        <v>10</v>
      </c>
      <c r="J173" s="6">
        <v>44134</v>
      </c>
      <c r="K173" t="s">
        <v>23</v>
      </c>
      <c r="L173" s="27">
        <v>54970</v>
      </c>
      <c r="M173" t="s">
        <v>208</v>
      </c>
      <c r="N173" s="9">
        <f ca="1">(TODAY()-Table4[[#This Row],[Date Joined]])/365</f>
        <v>5.2493150684931509</v>
      </c>
      <c r="O173" s="27">
        <f ca="1">IF(Table4[[#This Row],[Tenure]]&gt;3,3%,2%)*Table4[[#This Row],[Salary]]</f>
        <v>1649.1</v>
      </c>
    </row>
    <row r="174" spans="6:15" x14ac:dyDescent="0.3">
      <c r="F174" t="s">
        <v>177</v>
      </c>
      <c r="G174" t="s">
        <v>207</v>
      </c>
      <c r="H174">
        <v>26</v>
      </c>
      <c r="I174" t="s">
        <v>14</v>
      </c>
      <c r="J174" s="6">
        <v>44271</v>
      </c>
      <c r="K174" t="s">
        <v>11</v>
      </c>
      <c r="L174" s="27">
        <v>90700</v>
      </c>
      <c r="M174" t="s">
        <v>208</v>
      </c>
      <c r="N174" s="9">
        <f ca="1">(TODAY()-Table4[[#This Row],[Date Joined]])/365</f>
        <v>4.8739726027397259</v>
      </c>
      <c r="O174" s="27">
        <f ca="1">IF(Table4[[#This Row],[Tenure]]&gt;3,3%,2%)*Table4[[#This Row],[Salary]]</f>
        <v>2721</v>
      </c>
    </row>
    <row r="175" spans="6:15" x14ac:dyDescent="0.3">
      <c r="F175" t="s">
        <v>178</v>
      </c>
      <c r="G175" t="s">
        <v>13</v>
      </c>
      <c r="H175">
        <v>38</v>
      </c>
      <c r="I175" t="s">
        <v>14</v>
      </c>
      <c r="J175" s="6">
        <v>44329</v>
      </c>
      <c r="K175" t="s">
        <v>23</v>
      </c>
      <c r="L175" s="27">
        <v>56870</v>
      </c>
      <c r="M175" t="s">
        <v>208</v>
      </c>
      <c r="N175" s="9">
        <f ca="1">(TODAY()-Table4[[#This Row],[Date Joined]])/365</f>
        <v>4.7150684931506852</v>
      </c>
      <c r="O175" s="27">
        <f ca="1">IF(Table4[[#This Row],[Tenure]]&gt;3,3%,2%)*Table4[[#This Row],[Salary]]</f>
        <v>1706.1</v>
      </c>
    </row>
    <row r="176" spans="6:15" x14ac:dyDescent="0.3">
      <c r="F176" t="s">
        <v>179</v>
      </c>
      <c r="G176" t="s">
        <v>13</v>
      </c>
      <c r="H176">
        <v>25</v>
      </c>
      <c r="I176" t="s">
        <v>10</v>
      </c>
      <c r="J176" s="6">
        <v>44205</v>
      </c>
      <c r="K176" t="s">
        <v>23</v>
      </c>
      <c r="L176" s="27">
        <v>92700</v>
      </c>
      <c r="M176" t="s">
        <v>208</v>
      </c>
      <c r="N176" s="9">
        <f ca="1">(TODAY()-Table4[[#This Row],[Date Joined]])/365</f>
        <v>5.0547945205479454</v>
      </c>
      <c r="O176" s="27">
        <f ca="1">IF(Table4[[#This Row],[Tenure]]&gt;3,3%,2%)*Table4[[#This Row],[Salary]]</f>
        <v>2781</v>
      </c>
    </row>
    <row r="177" spans="6:15" x14ac:dyDescent="0.3">
      <c r="F177" t="s">
        <v>180</v>
      </c>
      <c r="G177" t="s">
        <v>13</v>
      </c>
      <c r="H177">
        <v>21</v>
      </c>
      <c r="I177" t="s">
        <v>10</v>
      </c>
      <c r="J177" s="6">
        <v>44317</v>
      </c>
      <c r="K177" t="s">
        <v>21</v>
      </c>
      <c r="L177" s="27">
        <v>65920</v>
      </c>
      <c r="M177" t="s">
        <v>208</v>
      </c>
      <c r="N177" s="9">
        <f ca="1">(TODAY()-Table4[[#This Row],[Date Joined]])/365</f>
        <v>4.7479452054794518</v>
      </c>
      <c r="O177" s="27">
        <f ca="1">IF(Table4[[#This Row],[Tenure]]&gt;3,3%,2%)*Table4[[#This Row],[Salary]]</f>
        <v>1977.6</v>
      </c>
    </row>
    <row r="178" spans="6:15" x14ac:dyDescent="0.3">
      <c r="F178" t="s">
        <v>181</v>
      </c>
      <c r="G178" t="s">
        <v>9</v>
      </c>
      <c r="H178">
        <v>26</v>
      </c>
      <c r="I178" t="s">
        <v>10</v>
      </c>
      <c r="J178" s="6">
        <v>44225</v>
      </c>
      <c r="K178" t="s">
        <v>16</v>
      </c>
      <c r="L178" s="27">
        <v>47360</v>
      </c>
      <c r="M178" t="s">
        <v>208</v>
      </c>
      <c r="N178" s="9">
        <f ca="1">(TODAY()-Table4[[#This Row],[Date Joined]])/365</f>
        <v>5</v>
      </c>
      <c r="O178" s="27">
        <f ca="1">IF(Table4[[#This Row],[Tenure]]&gt;3,3%,2%)*Table4[[#This Row],[Salary]]</f>
        <v>1420.8</v>
      </c>
    </row>
    <row r="179" spans="6:15" x14ac:dyDescent="0.3">
      <c r="F179" t="s">
        <v>182</v>
      </c>
      <c r="G179" t="s">
        <v>9</v>
      </c>
      <c r="H179">
        <v>30</v>
      </c>
      <c r="I179" t="s">
        <v>10</v>
      </c>
      <c r="J179" s="6">
        <v>44666</v>
      </c>
      <c r="K179" t="s">
        <v>16</v>
      </c>
      <c r="L179" s="27">
        <v>60570</v>
      </c>
      <c r="M179" t="s">
        <v>208</v>
      </c>
      <c r="N179" s="9">
        <f ca="1">(TODAY()-Table4[[#This Row],[Date Joined]])/365</f>
        <v>3.7917808219178082</v>
      </c>
      <c r="O179" s="27">
        <f ca="1">IF(Table4[[#This Row],[Tenure]]&gt;3,3%,2%)*Table4[[#This Row],[Salary]]</f>
        <v>1817.1</v>
      </c>
    </row>
    <row r="180" spans="6:15" x14ac:dyDescent="0.3">
      <c r="F180" t="s">
        <v>183</v>
      </c>
      <c r="G180" t="s">
        <v>13</v>
      </c>
      <c r="H180">
        <v>28</v>
      </c>
      <c r="I180" t="s">
        <v>10</v>
      </c>
      <c r="J180" s="6">
        <v>44649</v>
      </c>
      <c r="K180" t="s">
        <v>16</v>
      </c>
      <c r="L180" s="27">
        <v>104120</v>
      </c>
      <c r="M180" t="s">
        <v>208</v>
      </c>
      <c r="N180" s="9">
        <f ca="1">(TODAY()-Table4[[#This Row],[Date Joined]])/365</f>
        <v>3.8383561643835615</v>
      </c>
      <c r="O180" s="27">
        <f ca="1">IF(Table4[[#This Row],[Tenure]]&gt;3,3%,2%)*Table4[[#This Row],[Salary]]</f>
        <v>3123.6</v>
      </c>
    </row>
    <row r="181" spans="6:15" x14ac:dyDescent="0.3">
      <c r="F181" t="s">
        <v>184</v>
      </c>
      <c r="G181" t="s">
        <v>9</v>
      </c>
      <c r="H181">
        <v>37</v>
      </c>
      <c r="I181" t="s">
        <v>20</v>
      </c>
      <c r="J181" s="6">
        <v>44338</v>
      </c>
      <c r="K181" t="s">
        <v>11</v>
      </c>
      <c r="L181" s="27">
        <v>88050</v>
      </c>
      <c r="M181" t="s">
        <v>208</v>
      </c>
      <c r="N181" s="9">
        <f ca="1">(TODAY()-Table4[[#This Row],[Date Joined]])/365</f>
        <v>4.6904109589041099</v>
      </c>
      <c r="O181" s="27">
        <f ca="1">IF(Table4[[#This Row],[Tenure]]&gt;3,3%,2%)*Table4[[#This Row],[Salary]]</f>
        <v>2641.5</v>
      </c>
    </row>
    <row r="182" spans="6:15" x14ac:dyDescent="0.3">
      <c r="F182" t="s">
        <v>185</v>
      </c>
      <c r="G182" t="s">
        <v>9</v>
      </c>
      <c r="H182">
        <v>24</v>
      </c>
      <c r="I182" t="s">
        <v>10</v>
      </c>
      <c r="J182" s="6">
        <v>44686</v>
      </c>
      <c r="K182" t="s">
        <v>11</v>
      </c>
      <c r="L182" s="27">
        <v>100420</v>
      </c>
      <c r="M182" t="s">
        <v>208</v>
      </c>
      <c r="N182" s="9">
        <f ca="1">(TODAY()-Table4[[#This Row],[Date Joined]])/365</f>
        <v>3.7369863013698632</v>
      </c>
      <c r="O182" s="27">
        <f ca="1">IF(Table4[[#This Row],[Tenure]]&gt;3,3%,2%)*Table4[[#This Row],[Salary]]</f>
        <v>3012.6</v>
      </c>
    </row>
    <row r="183" spans="6:15" x14ac:dyDescent="0.3">
      <c r="F183" t="s">
        <v>186</v>
      </c>
      <c r="G183" t="s">
        <v>13</v>
      </c>
      <c r="H183">
        <v>30</v>
      </c>
      <c r="I183" t="s">
        <v>10</v>
      </c>
      <c r="J183" s="6">
        <v>44850</v>
      </c>
      <c r="K183" t="s">
        <v>16</v>
      </c>
      <c r="L183" s="27">
        <v>114180</v>
      </c>
      <c r="M183" t="s">
        <v>208</v>
      </c>
      <c r="N183" s="9">
        <f ca="1">(TODAY()-Table4[[#This Row],[Date Joined]])/365</f>
        <v>3.2876712328767121</v>
      </c>
      <c r="O183" s="27">
        <f ca="1">IF(Table4[[#This Row],[Tenure]]&gt;3,3%,2%)*Table4[[#This Row],[Salary]]</f>
        <v>3425.4</v>
      </c>
    </row>
    <row r="184" spans="6:15" x14ac:dyDescent="0.3">
      <c r="F184" t="s">
        <v>187</v>
      </c>
      <c r="G184" t="s">
        <v>13</v>
      </c>
      <c r="H184">
        <v>21</v>
      </c>
      <c r="I184" t="s">
        <v>10</v>
      </c>
      <c r="J184" s="6">
        <v>44678</v>
      </c>
      <c r="K184" t="s">
        <v>11</v>
      </c>
      <c r="L184" s="27">
        <v>33920</v>
      </c>
      <c r="M184" t="s">
        <v>208</v>
      </c>
      <c r="N184" s="9">
        <f ca="1">(TODAY()-Table4[[#This Row],[Date Joined]])/365</f>
        <v>3.7589041095890412</v>
      </c>
      <c r="O184" s="27">
        <f ca="1">IF(Table4[[#This Row],[Tenure]]&gt;3,3%,2%)*Table4[[#This Row],[Salary]]</f>
        <v>1017.5999999999999</v>
      </c>
    </row>
    <row r="185" spans="6:15" x14ac:dyDescent="0.3">
      <c r="F185" t="s">
        <v>188</v>
      </c>
      <c r="G185" t="s">
        <v>9</v>
      </c>
      <c r="H185">
        <v>23</v>
      </c>
      <c r="I185" t="s">
        <v>10</v>
      </c>
      <c r="J185" s="6">
        <v>44440</v>
      </c>
      <c r="K185" t="s">
        <v>16</v>
      </c>
      <c r="L185" s="27">
        <v>106460</v>
      </c>
      <c r="M185" t="s">
        <v>208</v>
      </c>
      <c r="N185" s="9">
        <f ca="1">(TODAY()-Table4[[#This Row],[Date Joined]])/365</f>
        <v>4.4109589041095889</v>
      </c>
      <c r="O185" s="27">
        <f ca="1">IF(Table4[[#This Row],[Tenure]]&gt;3,3%,2%)*Table4[[#This Row],[Salary]]</f>
        <v>3193.7999999999997</v>
      </c>
    </row>
    <row r="186" spans="6:15" x14ac:dyDescent="0.3">
      <c r="F186" t="s">
        <v>189</v>
      </c>
      <c r="G186" t="s">
        <v>9</v>
      </c>
      <c r="H186">
        <v>35</v>
      </c>
      <c r="I186" t="s">
        <v>10</v>
      </c>
      <c r="J186" s="6">
        <v>44727</v>
      </c>
      <c r="K186" t="s">
        <v>16</v>
      </c>
      <c r="L186" s="27">
        <v>40400</v>
      </c>
      <c r="M186" t="s">
        <v>208</v>
      </c>
      <c r="N186" s="9">
        <f ca="1">(TODAY()-Table4[[#This Row],[Date Joined]])/365</f>
        <v>3.6246575342465754</v>
      </c>
      <c r="O186" s="27">
        <f ca="1">IF(Table4[[#This Row],[Tenure]]&gt;3,3%,2%)*Table4[[#This Row],[Salary]]</f>
        <v>1212</v>
      </c>
    </row>
    <row r="187" spans="6:15" x14ac:dyDescent="0.3">
      <c r="F187" t="s">
        <v>190</v>
      </c>
      <c r="G187" t="s">
        <v>9</v>
      </c>
      <c r="H187">
        <v>27</v>
      </c>
      <c r="I187" t="s">
        <v>14</v>
      </c>
      <c r="J187" s="6">
        <v>44236</v>
      </c>
      <c r="K187" t="s">
        <v>21</v>
      </c>
      <c r="L187" s="27">
        <v>91650</v>
      </c>
      <c r="M187" t="s">
        <v>208</v>
      </c>
      <c r="N187" s="9">
        <f ca="1">(TODAY()-Table4[[#This Row],[Date Joined]])/365</f>
        <v>4.9698630136986299</v>
      </c>
      <c r="O187" s="27">
        <f ca="1">IF(Table4[[#This Row],[Tenure]]&gt;3,3%,2%)*Table4[[#This Row],[Salary]]</f>
        <v>2749.5</v>
      </c>
    </row>
    <row r="188" spans="6:15" x14ac:dyDescent="0.3">
      <c r="F188" t="s">
        <v>191</v>
      </c>
      <c r="G188" t="s">
        <v>9</v>
      </c>
      <c r="H188">
        <v>43</v>
      </c>
      <c r="I188" t="s">
        <v>10</v>
      </c>
      <c r="J188" s="6">
        <v>44620</v>
      </c>
      <c r="K188" t="s">
        <v>23</v>
      </c>
      <c r="L188" s="27">
        <v>36040</v>
      </c>
      <c r="M188" t="s">
        <v>208</v>
      </c>
      <c r="N188" s="9">
        <f ca="1">(TODAY()-Table4[[#This Row],[Date Joined]])/365</f>
        <v>3.9178082191780823</v>
      </c>
      <c r="O188" s="27">
        <f ca="1">IF(Table4[[#This Row],[Tenure]]&gt;3,3%,2%)*Table4[[#This Row],[Salary]]</f>
        <v>1081.2</v>
      </c>
    </row>
    <row r="189" spans="6:15" x14ac:dyDescent="0.3">
      <c r="F189" t="s">
        <v>192</v>
      </c>
      <c r="G189" t="s">
        <v>13</v>
      </c>
      <c r="H189">
        <v>40</v>
      </c>
      <c r="I189" t="s">
        <v>10</v>
      </c>
      <c r="J189" s="6">
        <v>44381</v>
      </c>
      <c r="K189" t="s">
        <v>11</v>
      </c>
      <c r="L189" s="27">
        <v>104410</v>
      </c>
      <c r="M189" t="s">
        <v>208</v>
      </c>
      <c r="N189" s="9">
        <f ca="1">(TODAY()-Table4[[#This Row],[Date Joined]])/365</f>
        <v>4.5726027397260278</v>
      </c>
      <c r="O189" s="27">
        <f ca="1">IF(Table4[[#This Row],[Tenure]]&gt;3,3%,2%)*Table4[[#This Row],[Salary]]</f>
        <v>3132.2999999999997</v>
      </c>
    </row>
    <row r="190" spans="6:15" x14ac:dyDescent="0.3">
      <c r="F190" t="s">
        <v>193</v>
      </c>
      <c r="G190" t="s">
        <v>9</v>
      </c>
      <c r="H190">
        <v>30</v>
      </c>
      <c r="I190" t="s">
        <v>10</v>
      </c>
      <c r="J190" s="6">
        <v>44606</v>
      </c>
      <c r="K190" t="s">
        <v>21</v>
      </c>
      <c r="L190" s="27">
        <v>96800</v>
      </c>
      <c r="M190" t="s">
        <v>208</v>
      </c>
      <c r="N190" s="9">
        <f ca="1">(TODAY()-Table4[[#This Row],[Date Joined]])/365</f>
        <v>3.956164383561644</v>
      </c>
      <c r="O190" s="27">
        <f ca="1">IF(Table4[[#This Row],[Tenure]]&gt;3,3%,2%)*Table4[[#This Row],[Salary]]</f>
        <v>2904</v>
      </c>
    </row>
    <row r="191" spans="6:15" x14ac:dyDescent="0.3">
      <c r="F191" t="s">
        <v>194</v>
      </c>
      <c r="G191" t="s">
        <v>13</v>
      </c>
      <c r="H191">
        <v>34</v>
      </c>
      <c r="I191" t="s">
        <v>10</v>
      </c>
      <c r="J191" s="6">
        <v>44459</v>
      </c>
      <c r="K191" t="s">
        <v>21</v>
      </c>
      <c r="L191" s="27">
        <v>85000</v>
      </c>
      <c r="M191" t="s">
        <v>208</v>
      </c>
      <c r="N191" s="9">
        <f ca="1">(TODAY()-Table4[[#This Row],[Date Joined]])/365</f>
        <v>4.3589041095890408</v>
      </c>
      <c r="O191" s="27">
        <f ca="1">IF(Table4[[#This Row],[Tenure]]&gt;3,3%,2%)*Table4[[#This Row],[Salary]]</f>
        <v>2550</v>
      </c>
    </row>
    <row r="192" spans="6:15" x14ac:dyDescent="0.3">
      <c r="F192" t="s">
        <v>195</v>
      </c>
      <c r="G192" t="s">
        <v>9</v>
      </c>
      <c r="H192">
        <v>28</v>
      </c>
      <c r="I192" t="s">
        <v>82</v>
      </c>
      <c r="J192" s="6">
        <v>44820</v>
      </c>
      <c r="K192" t="s">
        <v>23</v>
      </c>
      <c r="L192" s="27">
        <v>43510</v>
      </c>
      <c r="M192" t="s">
        <v>208</v>
      </c>
      <c r="N192" s="9">
        <f ca="1">(TODAY()-Table4[[#This Row],[Date Joined]])/365</f>
        <v>3.3698630136986303</v>
      </c>
      <c r="O192" s="27">
        <f ca="1">IF(Table4[[#This Row],[Tenure]]&gt;3,3%,2%)*Table4[[#This Row],[Salary]]</f>
        <v>1305.3</v>
      </c>
    </row>
    <row r="193" spans="6:15" x14ac:dyDescent="0.3">
      <c r="F193" t="s">
        <v>196</v>
      </c>
      <c r="G193" t="s">
        <v>9</v>
      </c>
      <c r="H193">
        <v>33</v>
      </c>
      <c r="I193" t="s">
        <v>10</v>
      </c>
      <c r="J193" s="6">
        <v>44243</v>
      </c>
      <c r="K193" t="s">
        <v>21</v>
      </c>
      <c r="L193" s="27">
        <v>59430</v>
      </c>
      <c r="M193" t="s">
        <v>208</v>
      </c>
      <c r="N193" s="9">
        <f ca="1">(TODAY()-Table4[[#This Row],[Date Joined]])/365</f>
        <v>4.9506849315068493</v>
      </c>
      <c r="O193" s="27">
        <f ca="1">IF(Table4[[#This Row],[Tenure]]&gt;3,3%,2%)*Table4[[#This Row],[Salary]]</f>
        <v>1782.8999999999999</v>
      </c>
    </row>
    <row r="194" spans="6:15" x14ac:dyDescent="0.3">
      <c r="F194" t="s">
        <v>197</v>
      </c>
      <c r="G194" t="s">
        <v>13</v>
      </c>
      <c r="H194">
        <v>33</v>
      </c>
      <c r="I194" t="s">
        <v>10</v>
      </c>
      <c r="J194" s="6">
        <v>44067</v>
      </c>
      <c r="K194" t="s">
        <v>21</v>
      </c>
      <c r="L194" s="27">
        <v>65360</v>
      </c>
      <c r="M194" t="s">
        <v>208</v>
      </c>
      <c r="N194" s="9">
        <f ca="1">(TODAY()-Table4[[#This Row],[Date Joined]])/365</f>
        <v>5.4328767123287669</v>
      </c>
      <c r="O194" s="27">
        <f ca="1">IF(Table4[[#This Row],[Tenure]]&gt;3,3%,2%)*Table4[[#This Row],[Salary]]</f>
        <v>1960.8</v>
      </c>
    </row>
    <row r="195" spans="6:15" x14ac:dyDescent="0.3">
      <c r="F195" t="s">
        <v>198</v>
      </c>
      <c r="G195" t="s">
        <v>13</v>
      </c>
      <c r="H195">
        <v>32</v>
      </c>
      <c r="I195" t="s">
        <v>10</v>
      </c>
      <c r="J195" s="6">
        <v>44611</v>
      </c>
      <c r="K195" t="s">
        <v>16</v>
      </c>
      <c r="L195" s="27">
        <v>41570</v>
      </c>
      <c r="M195" t="s">
        <v>208</v>
      </c>
      <c r="N195" s="9">
        <f ca="1">(TODAY()-Table4[[#This Row],[Date Joined]])/365</f>
        <v>3.9424657534246577</v>
      </c>
      <c r="O195" s="27">
        <f ca="1">IF(Table4[[#This Row],[Tenure]]&gt;3,3%,2%)*Table4[[#This Row],[Salary]]</f>
        <v>1247.0999999999999</v>
      </c>
    </row>
    <row r="196" spans="6:15" x14ac:dyDescent="0.3">
      <c r="F196" t="s">
        <v>199</v>
      </c>
      <c r="G196" t="s">
        <v>13</v>
      </c>
      <c r="H196">
        <v>33</v>
      </c>
      <c r="I196" t="s">
        <v>10</v>
      </c>
      <c r="J196" s="6">
        <v>44312</v>
      </c>
      <c r="K196" t="s">
        <v>11</v>
      </c>
      <c r="L196" s="27">
        <v>75280</v>
      </c>
      <c r="M196" t="s">
        <v>208</v>
      </c>
      <c r="N196" s="9">
        <f ca="1">(TODAY()-Table4[[#This Row],[Date Joined]])/365</f>
        <v>4.7616438356164386</v>
      </c>
      <c r="O196" s="27">
        <f ca="1">IF(Table4[[#This Row],[Tenure]]&gt;3,3%,2%)*Table4[[#This Row],[Salary]]</f>
        <v>2258.4</v>
      </c>
    </row>
    <row r="197" spans="6:15" x14ac:dyDescent="0.3">
      <c r="F197" t="s">
        <v>200</v>
      </c>
      <c r="G197" t="s">
        <v>9</v>
      </c>
      <c r="H197">
        <v>33</v>
      </c>
      <c r="I197" t="s">
        <v>10</v>
      </c>
      <c r="J197" s="6">
        <v>44385</v>
      </c>
      <c r="K197" t="s">
        <v>23</v>
      </c>
      <c r="L197" s="27">
        <v>74550</v>
      </c>
      <c r="M197" t="s">
        <v>208</v>
      </c>
      <c r="N197" s="9">
        <f ca="1">(TODAY()-Table4[[#This Row],[Date Joined]])/365</f>
        <v>4.5616438356164384</v>
      </c>
      <c r="O197" s="27">
        <f ca="1">IF(Table4[[#This Row],[Tenure]]&gt;3,3%,2%)*Table4[[#This Row],[Salary]]</f>
        <v>2236.5</v>
      </c>
    </row>
    <row r="198" spans="6:15" x14ac:dyDescent="0.3">
      <c r="F198" t="s">
        <v>201</v>
      </c>
      <c r="G198" t="s">
        <v>9</v>
      </c>
      <c r="H198">
        <v>30</v>
      </c>
      <c r="I198" t="s">
        <v>10</v>
      </c>
      <c r="J198" s="6">
        <v>44701</v>
      </c>
      <c r="K198" t="s">
        <v>16</v>
      </c>
      <c r="L198" s="27">
        <v>67950</v>
      </c>
      <c r="M198" t="s">
        <v>208</v>
      </c>
      <c r="N198" s="9">
        <f ca="1">(TODAY()-Table4[[#This Row],[Date Joined]])/365</f>
        <v>3.6958904109589041</v>
      </c>
      <c r="O198" s="27">
        <f ca="1">IF(Table4[[#This Row],[Tenure]]&gt;3,3%,2%)*Table4[[#This Row],[Salary]]</f>
        <v>2038.5</v>
      </c>
    </row>
    <row r="199" spans="6:15" x14ac:dyDescent="0.3">
      <c r="F199" t="s">
        <v>202</v>
      </c>
      <c r="G199" t="s">
        <v>9</v>
      </c>
      <c r="H199">
        <v>42</v>
      </c>
      <c r="I199" t="s">
        <v>20</v>
      </c>
      <c r="J199" s="6">
        <v>44731</v>
      </c>
      <c r="K199" t="s">
        <v>21</v>
      </c>
      <c r="L199" s="27">
        <v>70270</v>
      </c>
      <c r="M199" t="s">
        <v>208</v>
      </c>
      <c r="N199" s="9">
        <f ca="1">(TODAY()-Table4[[#This Row],[Date Joined]])/365</f>
        <v>3.6136986301369864</v>
      </c>
      <c r="O199" s="27">
        <f ca="1">IF(Table4[[#This Row],[Tenure]]&gt;3,3%,2%)*Table4[[#This Row],[Salary]]</f>
        <v>2108.1</v>
      </c>
    </row>
    <row r="200" spans="6:15" x14ac:dyDescent="0.3">
      <c r="F200" t="s">
        <v>203</v>
      </c>
      <c r="G200" t="s">
        <v>9</v>
      </c>
      <c r="H200">
        <v>26</v>
      </c>
      <c r="I200" t="s">
        <v>10</v>
      </c>
      <c r="J200" s="6">
        <v>44411</v>
      </c>
      <c r="K200" t="s">
        <v>16</v>
      </c>
      <c r="L200" s="27">
        <v>53540</v>
      </c>
      <c r="M200" t="s">
        <v>208</v>
      </c>
      <c r="N200" s="9">
        <f ca="1">(TODAY()-Table4[[#This Row],[Date Joined]])/365</f>
        <v>4.4904109589041097</v>
      </c>
      <c r="O200" s="27">
        <f ca="1">IF(Table4[[#This Row],[Tenure]]&gt;3,3%,2%)*Table4[[#This Row],[Salary]]</f>
        <v>1606.2</v>
      </c>
    </row>
  </sheetData>
  <mergeCells count="2">
    <mergeCell ref="G1:I1"/>
    <mergeCell ref="I16:K16"/>
  </mergeCells>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selection activeCell="F12" sqref="F12"/>
    </sheetView>
  </sheetViews>
  <sheetFormatPr defaultRowHeight="14.4" x14ac:dyDescent="0.3"/>
  <cols>
    <col min="1" max="1" width="3.6640625" customWidth="1"/>
    <col min="4" max="4" width="17.88671875" customWidth="1"/>
    <col min="6" max="6" width="8.88671875" customWidth="1"/>
  </cols>
  <sheetData>
    <row r="1" spans="1:11" s="57" customFormat="1" x14ac:dyDescent="0.3">
      <c r="A1" s="55"/>
      <c r="B1" s="56" t="s">
        <v>266</v>
      </c>
    </row>
    <row r="2" spans="1:11" s="57" customFormat="1" x14ac:dyDescent="0.3">
      <c r="A2" s="55"/>
    </row>
    <row r="3" spans="1:11" s="57" customFormat="1" x14ac:dyDescent="0.3">
      <c r="A3" s="55"/>
    </row>
    <row r="4" spans="1:11" s="57" customFormat="1" x14ac:dyDescent="0.3">
      <c r="A4" s="55"/>
    </row>
    <row r="6" spans="1:11" x14ac:dyDescent="0.3">
      <c r="B6" s="59" t="s">
        <v>240</v>
      </c>
      <c r="C6" s="59"/>
      <c r="D6" s="59"/>
    </row>
    <row r="7" spans="1:11" x14ac:dyDescent="0.3">
      <c r="B7" s="7" t="s">
        <v>236</v>
      </c>
      <c r="C7" s="7"/>
      <c r="D7" s="7"/>
    </row>
    <row r="8" spans="1:11" x14ac:dyDescent="0.3">
      <c r="B8" s="7" t="s">
        <v>237</v>
      </c>
      <c r="C8" s="7"/>
      <c r="D8" s="7"/>
    </row>
    <row r="9" spans="1:11" x14ac:dyDescent="0.3">
      <c r="B9" s="7" t="s">
        <v>238</v>
      </c>
      <c r="C9" s="7"/>
      <c r="D9" s="7"/>
    </row>
    <row r="10" spans="1:11" x14ac:dyDescent="0.3">
      <c r="B10" s="7" t="s">
        <v>239</v>
      </c>
      <c r="C10" s="7"/>
      <c r="D10" s="7"/>
      <c r="I10" s="58" t="s">
        <v>220</v>
      </c>
      <c r="J10" s="58"/>
      <c r="K10" s="58"/>
    </row>
  </sheetData>
  <mergeCells count="4">
    <mergeCell ref="A1:A4"/>
    <mergeCell ref="B1:XFD4"/>
    <mergeCell ref="I10:K10"/>
    <mergeCell ref="B6:D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9"/>
  <sheetViews>
    <sheetView workbookViewId="0">
      <selection activeCell="M5" sqref="M5"/>
    </sheetView>
  </sheetViews>
  <sheetFormatPr defaultRowHeight="14.4" x14ac:dyDescent="0.3"/>
  <cols>
    <col min="1" max="1" width="13.109375" bestFit="1" customWidth="1"/>
    <col min="2" max="2" width="13.88671875" bestFit="1" customWidth="1"/>
    <col min="3" max="3" width="15.77734375" bestFit="1" customWidth="1"/>
  </cols>
  <sheetData>
    <row r="3" spans="1:11" x14ac:dyDescent="0.3">
      <c r="A3" s="24" t="s">
        <v>243</v>
      </c>
      <c r="B3" t="s">
        <v>229</v>
      </c>
      <c r="C3" t="s">
        <v>232</v>
      </c>
    </row>
    <row r="4" spans="1:11" x14ac:dyDescent="0.3">
      <c r="A4" s="25" t="s">
        <v>42</v>
      </c>
      <c r="B4" s="5">
        <v>4</v>
      </c>
      <c r="C4" s="27">
        <v>92080</v>
      </c>
    </row>
    <row r="5" spans="1:11" x14ac:dyDescent="0.3">
      <c r="A5" s="25" t="s">
        <v>14</v>
      </c>
      <c r="B5" s="5">
        <v>20</v>
      </c>
      <c r="C5" s="27">
        <v>75933</v>
      </c>
    </row>
    <row r="6" spans="1:11" x14ac:dyDescent="0.3">
      <c r="A6" s="25" t="s">
        <v>10</v>
      </c>
      <c r="B6" s="5">
        <v>137</v>
      </c>
      <c r="C6" s="27">
        <v>76798.759124087592</v>
      </c>
      <c r="I6" s="50" t="s">
        <v>224</v>
      </c>
      <c r="J6" s="50"/>
      <c r="K6" s="50"/>
    </row>
    <row r="7" spans="1:11" x14ac:dyDescent="0.3">
      <c r="A7" s="25" t="s">
        <v>20</v>
      </c>
      <c r="B7" s="5">
        <v>16</v>
      </c>
      <c r="C7" s="27">
        <v>78115</v>
      </c>
    </row>
    <row r="8" spans="1:11" x14ac:dyDescent="0.3">
      <c r="A8" s="25" t="s">
        <v>82</v>
      </c>
      <c r="B8" s="5">
        <v>6</v>
      </c>
      <c r="C8" s="27">
        <v>77423.333333333328</v>
      </c>
    </row>
    <row r="9" spans="1:11" x14ac:dyDescent="0.3">
      <c r="A9" s="25" t="s">
        <v>244</v>
      </c>
      <c r="B9" s="5">
        <v>183</v>
      </c>
      <c r="C9" s="29">
        <v>77173.715846994543</v>
      </c>
    </row>
  </sheetData>
  <mergeCells count="1">
    <mergeCell ref="I6:K6"/>
  </mergeCells>
  <conditionalFormatting pivot="1" sqref="C4:C8">
    <cfRule type="dataBar" priority="1">
      <dataBar>
        <cfvo type="min"/>
        <cfvo type="max"/>
        <color rgb="FF638EC6"/>
      </dataBar>
      <extLst>
        <ext xmlns:x14="http://schemas.microsoft.com/office/spreadsheetml/2009/9/main" uri="{B025F937-C7B1-47D3-B67F-A62EFF666E3E}">
          <x14:id>{1F728DFD-AD08-4677-B528-5BBFBAF142E2}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1F728DFD-AD08-4677-B528-5BBFBAF142E2}">
            <x14:dataBar minLength="0" maxLength="100" gradient="0">
              <x14:cfvo type="autoMin"/>
              <x14:cfvo type="autoMax"/>
              <x14:negativeFillColor rgb="FFFF0000"/>
              <x14:axisColor rgb="FF000000"/>
            </x14:dataBar>
          </x14:cfRule>
          <xm:sqref>C4:C8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0"/>
  <sheetViews>
    <sheetView zoomScaleNormal="100" workbookViewId="0">
      <selection activeCell="M5" sqref="M5"/>
    </sheetView>
  </sheetViews>
  <sheetFormatPr defaultRowHeight="14.4" x14ac:dyDescent="0.3"/>
  <cols>
    <col min="1" max="1" width="12.5546875" customWidth="1"/>
    <col min="2" max="2" width="12.6640625" customWidth="1"/>
  </cols>
  <sheetData>
    <row r="3" spans="1:10" x14ac:dyDescent="0.3">
      <c r="A3" s="24" t="s">
        <v>243</v>
      </c>
      <c r="B3" t="s">
        <v>262</v>
      </c>
    </row>
    <row r="4" spans="1:10" x14ac:dyDescent="0.3">
      <c r="A4" s="25" t="s">
        <v>246</v>
      </c>
      <c r="B4" s="5"/>
    </row>
    <row r="5" spans="1:10" x14ac:dyDescent="0.3">
      <c r="A5" s="30" t="s">
        <v>247</v>
      </c>
      <c r="B5" s="5">
        <v>3</v>
      </c>
    </row>
    <row r="6" spans="1:10" x14ac:dyDescent="0.3">
      <c r="A6" s="30" t="s">
        <v>248</v>
      </c>
      <c r="B6" s="5">
        <v>4</v>
      </c>
      <c r="H6" s="50" t="s">
        <v>225</v>
      </c>
      <c r="I6" s="50"/>
      <c r="J6" s="50"/>
    </row>
    <row r="7" spans="1:10" x14ac:dyDescent="0.3">
      <c r="A7" s="30" t="s">
        <v>249</v>
      </c>
      <c r="B7" s="5">
        <v>9</v>
      </c>
    </row>
    <row r="8" spans="1:10" x14ac:dyDescent="0.3">
      <c r="A8" s="30" t="s">
        <v>250</v>
      </c>
      <c r="B8" s="5">
        <v>12</v>
      </c>
    </row>
    <row r="9" spans="1:10" x14ac:dyDescent="0.3">
      <c r="A9" s="30" t="s">
        <v>251</v>
      </c>
      <c r="B9" s="5">
        <v>18</v>
      </c>
    </row>
    <row r="10" spans="1:10" x14ac:dyDescent="0.3">
      <c r="A10" s="30" t="s">
        <v>252</v>
      </c>
      <c r="B10" s="5">
        <v>24</v>
      </c>
    </row>
    <row r="11" spans="1:10" x14ac:dyDescent="0.3">
      <c r="A11" s="30" t="s">
        <v>253</v>
      </c>
      <c r="B11" s="5">
        <v>30</v>
      </c>
    </row>
    <row r="12" spans="1:10" x14ac:dyDescent="0.3">
      <c r="A12" s="30" t="s">
        <v>254</v>
      </c>
      <c r="B12" s="5">
        <v>37</v>
      </c>
    </row>
    <row r="13" spans="1:10" x14ac:dyDescent="0.3">
      <c r="A13" s="25" t="s">
        <v>255</v>
      </c>
      <c r="B13" s="5"/>
    </row>
    <row r="14" spans="1:10" x14ac:dyDescent="0.3">
      <c r="A14" s="30" t="s">
        <v>256</v>
      </c>
      <c r="B14" s="5">
        <v>6</v>
      </c>
    </row>
    <row r="15" spans="1:10" x14ac:dyDescent="0.3">
      <c r="A15" s="30" t="s">
        <v>257</v>
      </c>
      <c r="B15" s="5">
        <v>10</v>
      </c>
    </row>
    <row r="16" spans="1:10" x14ac:dyDescent="0.3">
      <c r="A16" s="30" t="s">
        <v>258</v>
      </c>
      <c r="B16" s="5">
        <v>19</v>
      </c>
    </row>
    <row r="17" spans="1:2" x14ac:dyDescent="0.3">
      <c r="A17" s="30" t="s">
        <v>259</v>
      </c>
      <c r="B17" s="5">
        <v>24</v>
      </c>
    </row>
    <row r="18" spans="1:2" x14ac:dyDescent="0.3">
      <c r="A18" s="30" t="s">
        <v>247</v>
      </c>
      <c r="B18" s="5">
        <v>34</v>
      </c>
    </row>
    <row r="19" spans="1:2" x14ac:dyDescent="0.3">
      <c r="A19" s="30" t="s">
        <v>248</v>
      </c>
      <c r="B19" s="5">
        <v>40</v>
      </c>
    </row>
    <row r="20" spans="1:2" x14ac:dyDescent="0.3">
      <c r="A20" s="30" t="s">
        <v>249</v>
      </c>
      <c r="B20" s="5">
        <v>53</v>
      </c>
    </row>
    <row r="21" spans="1:2" x14ac:dyDescent="0.3">
      <c r="A21" s="30" t="s">
        <v>250</v>
      </c>
      <c r="B21" s="5">
        <v>57</v>
      </c>
    </row>
    <row r="22" spans="1:2" x14ac:dyDescent="0.3">
      <c r="A22" s="30" t="s">
        <v>251</v>
      </c>
      <c r="B22" s="5">
        <v>68</v>
      </c>
    </row>
    <row r="23" spans="1:2" x14ac:dyDescent="0.3">
      <c r="A23" s="30" t="s">
        <v>252</v>
      </c>
      <c r="B23" s="5">
        <v>71</v>
      </c>
    </row>
    <row r="24" spans="1:2" x14ac:dyDescent="0.3">
      <c r="A24" s="30" t="s">
        <v>253</v>
      </c>
      <c r="B24" s="5">
        <v>75</v>
      </c>
    </row>
    <row r="25" spans="1:2" x14ac:dyDescent="0.3">
      <c r="A25" s="30" t="s">
        <v>254</v>
      </c>
      <c r="B25" s="5">
        <v>82</v>
      </c>
    </row>
    <row r="26" spans="1:2" x14ac:dyDescent="0.3">
      <c r="A26" s="25" t="s">
        <v>260</v>
      </c>
      <c r="B26" s="5"/>
    </row>
    <row r="27" spans="1:2" x14ac:dyDescent="0.3">
      <c r="A27" s="30" t="s">
        <v>256</v>
      </c>
      <c r="B27" s="5">
        <v>3</v>
      </c>
    </row>
    <row r="28" spans="1:2" x14ac:dyDescent="0.3">
      <c r="A28" s="30" t="s">
        <v>257</v>
      </c>
      <c r="B28" s="5">
        <v>13</v>
      </c>
    </row>
    <row r="29" spans="1:2" x14ac:dyDescent="0.3">
      <c r="A29" s="30" t="s">
        <v>258</v>
      </c>
      <c r="B29" s="5">
        <v>22</v>
      </c>
    </row>
    <row r="30" spans="1:2" x14ac:dyDescent="0.3">
      <c r="A30" s="30" t="s">
        <v>259</v>
      </c>
      <c r="B30" s="5">
        <v>31</v>
      </c>
    </row>
    <row r="31" spans="1:2" x14ac:dyDescent="0.3">
      <c r="A31" s="30" t="s">
        <v>247</v>
      </c>
      <c r="B31" s="5">
        <v>40</v>
      </c>
    </row>
    <row r="32" spans="1:2" x14ac:dyDescent="0.3">
      <c r="A32" s="30" t="s">
        <v>248</v>
      </c>
      <c r="B32" s="5">
        <v>47</v>
      </c>
    </row>
    <row r="33" spans="1:2" x14ac:dyDescent="0.3">
      <c r="A33" s="30" t="s">
        <v>249</v>
      </c>
      <c r="B33" s="5">
        <v>52</v>
      </c>
    </row>
    <row r="34" spans="1:2" x14ac:dyDescent="0.3">
      <c r="A34" s="30" t="s">
        <v>250</v>
      </c>
      <c r="B34" s="5">
        <v>57</v>
      </c>
    </row>
    <row r="35" spans="1:2" x14ac:dyDescent="0.3">
      <c r="A35" s="30" t="s">
        <v>251</v>
      </c>
      <c r="B35" s="5">
        <v>59</v>
      </c>
    </row>
    <row r="36" spans="1:2" x14ac:dyDescent="0.3">
      <c r="A36" s="30" t="s">
        <v>252</v>
      </c>
      <c r="B36" s="5">
        <v>62</v>
      </c>
    </row>
    <row r="37" spans="1:2" x14ac:dyDescent="0.3">
      <c r="A37" s="25" t="s">
        <v>261</v>
      </c>
      <c r="B37" s="5"/>
    </row>
    <row r="38" spans="1:2" x14ac:dyDescent="0.3">
      <c r="A38" s="30" t="s">
        <v>257</v>
      </c>
      <c r="B38" s="5">
        <v>1</v>
      </c>
    </row>
    <row r="39" spans="1:2" x14ac:dyDescent="0.3">
      <c r="A39" s="30" t="s">
        <v>259</v>
      </c>
      <c r="B39" s="5">
        <v>2</v>
      </c>
    </row>
    <row r="40" spans="1:2" x14ac:dyDescent="0.3">
      <c r="A40" s="25" t="s">
        <v>244</v>
      </c>
      <c r="B40" s="5"/>
    </row>
  </sheetData>
  <mergeCells count="1">
    <mergeCell ref="H6:J6"/>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N21"/>
  <sheetViews>
    <sheetView tabSelected="1" zoomScaleNormal="100" workbookViewId="0">
      <selection activeCell="Q14" sqref="Q13:Q14"/>
    </sheetView>
  </sheetViews>
  <sheetFormatPr defaultRowHeight="14.4" x14ac:dyDescent="0.3"/>
  <cols>
    <col min="3" max="3" width="18" customWidth="1"/>
    <col min="4" max="4" width="2.6640625" customWidth="1"/>
    <col min="5" max="5" width="18" customWidth="1"/>
    <col min="6" max="6" width="2.6640625" customWidth="1"/>
    <col min="7" max="7" width="18" customWidth="1"/>
    <col min="10" max="10" width="18" customWidth="1"/>
    <col min="11" max="11" width="2.6640625" customWidth="1"/>
    <col min="12" max="12" width="18" customWidth="1"/>
    <col min="13" max="13" width="2.6640625" customWidth="1"/>
    <col min="14" max="14" width="18" customWidth="1"/>
  </cols>
  <sheetData>
    <row r="2" spans="3:14" s="43" customFormat="1" ht="46.2" customHeight="1" x14ac:dyDescent="0.8">
      <c r="C2" s="61" t="s">
        <v>264</v>
      </c>
      <c r="D2" s="61"/>
      <c r="E2" s="61"/>
      <c r="F2" s="61"/>
      <c r="G2" s="61"/>
      <c r="J2" s="61" t="s">
        <v>265</v>
      </c>
      <c r="K2" s="61"/>
      <c r="L2" s="61"/>
      <c r="M2" s="61"/>
      <c r="N2" s="61"/>
    </row>
    <row r="3" spans="3:14" ht="83.4" customHeight="1" x14ac:dyDescent="0.3">
      <c r="C3" s="39">
        <f>COUNTIFS(Combined_table[Country],"IND")</f>
        <v>92</v>
      </c>
      <c r="E3" s="40">
        <f>COUNTIFS(Combined_table[Country],"IND",Combined_table[Gender],"Female")/C3</f>
        <v>0.46739130434782611</v>
      </c>
      <c r="G3" s="41">
        <f>AVERAGEIFS(Combined_table[Salary],Combined_table[Country],"IND")</f>
        <v>77366.521739130432</v>
      </c>
      <c r="J3" s="37">
        <f>COUNTIFS(Combined_table[Country],"NZ")</f>
        <v>91</v>
      </c>
      <c r="L3" s="42">
        <f>COUNTIFS(Combined_table[Country],"NZ",Combined_table[Gender],"Female")/J3</f>
        <v>0.47252747252747251</v>
      </c>
      <c r="N3" s="38">
        <f>AVERAGEIFS(Combined_table[Salary],Combined_table[Country],"NZ")</f>
        <v>76978.791208791212</v>
      </c>
    </row>
    <row r="4" spans="3:14" ht="16.8" x14ac:dyDescent="0.3">
      <c r="C4" s="44" t="s">
        <v>267</v>
      </c>
      <c r="E4" s="44" t="s">
        <v>268</v>
      </c>
      <c r="G4" s="44" t="s">
        <v>216</v>
      </c>
      <c r="J4" s="44" t="s">
        <v>267</v>
      </c>
      <c r="L4" s="44" t="s">
        <v>268</v>
      </c>
      <c r="N4" s="44" t="s">
        <v>216</v>
      </c>
    </row>
    <row r="6" spans="3:14" ht="39" customHeight="1" x14ac:dyDescent="0.3">
      <c r="C6" s="60" t="s">
        <v>263</v>
      </c>
      <c r="D6" s="60"/>
      <c r="E6" s="60"/>
      <c r="F6" s="60"/>
      <c r="G6" s="60"/>
      <c r="H6" s="60"/>
      <c r="I6" s="60"/>
      <c r="J6" s="60"/>
      <c r="K6" s="60"/>
      <c r="L6" s="60"/>
      <c r="M6" s="60"/>
      <c r="N6" s="60"/>
    </row>
    <row r="8" spans="3:14" x14ac:dyDescent="0.3">
      <c r="C8" s="33"/>
      <c r="D8" s="31"/>
      <c r="E8" s="31"/>
      <c r="F8" s="31"/>
      <c r="G8" s="34"/>
      <c r="J8" s="33"/>
      <c r="K8" s="31"/>
      <c r="L8" s="31"/>
      <c r="M8" s="31"/>
      <c r="N8" s="34"/>
    </row>
    <row r="9" spans="3:14" x14ac:dyDescent="0.3">
      <c r="C9" s="33"/>
      <c r="D9" s="31"/>
      <c r="E9" s="31"/>
      <c r="F9" s="31"/>
      <c r="G9" s="34"/>
      <c r="J9" s="33"/>
      <c r="K9" s="31"/>
      <c r="L9" s="31"/>
      <c r="M9" s="31"/>
      <c r="N9" s="34"/>
    </row>
    <row r="10" spans="3:14" x14ac:dyDescent="0.3">
      <c r="C10" s="33"/>
      <c r="D10" s="31"/>
      <c r="E10" s="31"/>
      <c r="F10" s="31"/>
      <c r="G10" s="34"/>
      <c r="J10" s="33"/>
      <c r="K10" s="31"/>
      <c r="L10" s="31"/>
      <c r="M10" s="31"/>
      <c r="N10" s="34"/>
    </row>
    <row r="11" spans="3:14" x14ac:dyDescent="0.3">
      <c r="C11" s="33"/>
      <c r="D11" s="31"/>
      <c r="E11" s="31"/>
      <c r="F11" s="31"/>
      <c r="G11" s="34"/>
      <c r="J11" s="33"/>
      <c r="K11" s="31"/>
      <c r="L11" s="31"/>
      <c r="M11" s="31"/>
      <c r="N11" s="34"/>
    </row>
    <row r="12" spans="3:14" x14ac:dyDescent="0.3">
      <c r="C12" s="33"/>
      <c r="D12" s="31"/>
      <c r="E12" s="31"/>
      <c r="F12" s="31"/>
      <c r="G12" s="34"/>
      <c r="I12" s="2"/>
      <c r="J12" s="33"/>
      <c r="K12" s="31"/>
      <c r="L12" s="31"/>
      <c r="M12" s="31"/>
      <c r="N12" s="34"/>
    </row>
    <row r="13" spans="3:14" x14ac:dyDescent="0.3">
      <c r="C13" s="33"/>
      <c r="D13" s="31"/>
      <c r="E13" s="31"/>
      <c r="F13" s="31"/>
      <c r="G13" s="34"/>
      <c r="J13" s="33"/>
      <c r="K13" s="31"/>
      <c r="L13" s="31"/>
      <c r="M13" s="31"/>
      <c r="N13" s="34"/>
    </row>
    <row r="14" spans="3:14" x14ac:dyDescent="0.3">
      <c r="C14" s="33"/>
      <c r="D14" s="31"/>
      <c r="E14" s="31"/>
      <c r="F14" s="31"/>
      <c r="G14" s="34"/>
      <c r="J14" s="33"/>
      <c r="K14" s="31"/>
      <c r="L14" s="31"/>
      <c r="M14" s="31"/>
      <c r="N14" s="34"/>
    </row>
    <row r="15" spans="3:14" x14ac:dyDescent="0.3">
      <c r="C15" s="33"/>
      <c r="D15" s="31"/>
      <c r="E15" s="31"/>
      <c r="F15" s="31"/>
      <c r="G15" s="34"/>
      <c r="J15" s="33"/>
      <c r="K15" s="31"/>
      <c r="L15" s="31"/>
      <c r="M15" s="31"/>
      <c r="N15" s="34"/>
    </row>
    <row r="16" spans="3:14" x14ac:dyDescent="0.3">
      <c r="C16" s="33"/>
      <c r="D16" s="31"/>
      <c r="E16" s="31"/>
      <c r="F16" s="31"/>
      <c r="G16" s="34"/>
      <c r="J16" s="33"/>
      <c r="K16" s="31"/>
      <c r="L16" s="31"/>
      <c r="M16" s="31"/>
      <c r="N16" s="34"/>
    </row>
    <row r="17" spans="3:14" x14ac:dyDescent="0.3">
      <c r="C17" s="33"/>
      <c r="D17" s="31"/>
      <c r="E17" s="31"/>
      <c r="F17" s="31"/>
      <c r="G17" s="34"/>
      <c r="J17" s="33"/>
      <c r="K17" s="31"/>
      <c r="L17" s="31"/>
      <c r="M17" s="31"/>
      <c r="N17" s="34"/>
    </row>
    <row r="18" spans="3:14" x14ac:dyDescent="0.3">
      <c r="C18" s="33"/>
      <c r="D18" s="31"/>
      <c r="E18" s="31"/>
      <c r="F18" s="31"/>
      <c r="G18" s="34"/>
      <c r="J18" s="33"/>
      <c r="K18" s="31"/>
      <c r="L18" s="31"/>
      <c r="M18" s="31"/>
      <c r="N18" s="34"/>
    </row>
    <row r="19" spans="3:14" x14ac:dyDescent="0.3">
      <c r="C19" s="33"/>
      <c r="D19" s="31"/>
      <c r="E19" s="31"/>
      <c r="F19" s="31"/>
      <c r="G19" s="34"/>
      <c r="J19" s="33"/>
      <c r="K19" s="31"/>
      <c r="L19" s="31"/>
      <c r="M19" s="31"/>
      <c r="N19" s="34"/>
    </row>
    <row r="20" spans="3:14" x14ac:dyDescent="0.3">
      <c r="C20" s="33"/>
      <c r="D20" s="31"/>
      <c r="E20" s="31"/>
      <c r="F20" s="31"/>
      <c r="G20" s="34"/>
      <c r="J20" s="33"/>
      <c r="K20" s="31"/>
      <c r="L20" s="31"/>
      <c r="M20" s="31"/>
      <c r="N20" s="34"/>
    </row>
    <row r="21" spans="3:14" x14ac:dyDescent="0.3">
      <c r="C21" s="35"/>
      <c r="D21" s="32"/>
      <c r="E21" s="32"/>
      <c r="F21" s="32"/>
      <c r="G21" s="36"/>
      <c r="J21" s="35"/>
      <c r="K21" s="32"/>
      <c r="L21" s="32"/>
      <c r="M21" s="32"/>
      <c r="N21" s="36"/>
    </row>
  </sheetData>
  <mergeCells count="3">
    <mergeCell ref="C6:N6"/>
    <mergeCell ref="C2:G2"/>
    <mergeCell ref="J2:N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K25" sqref="K25"/>
    </sheetView>
  </sheetViews>
  <sheetFormatPr defaultRowHeight="14.4" x14ac:dyDescent="0.3"/>
  <cols>
    <col min="1" max="1" width="12.5546875" bestFit="1" customWidth="1"/>
    <col min="2" max="2" width="13.88671875" bestFit="1" customWidth="1"/>
    <col min="7" max="7" width="12.5546875" bestFit="1" customWidth="1"/>
    <col min="8" max="8" width="13.88671875" bestFit="1" customWidth="1"/>
  </cols>
  <sheetData>
    <row r="1" spans="1:8" x14ac:dyDescent="0.3">
      <c r="A1" s="24" t="s">
        <v>205</v>
      </c>
      <c r="B1" t="s">
        <v>206</v>
      </c>
      <c r="G1" s="24" t="s">
        <v>205</v>
      </c>
      <c r="H1" t="s">
        <v>208</v>
      </c>
    </row>
    <row r="3" spans="1:8" x14ac:dyDescent="0.3">
      <c r="A3" s="24" t="s">
        <v>243</v>
      </c>
      <c r="B3" t="s">
        <v>229</v>
      </c>
      <c r="G3" s="24" t="s">
        <v>243</v>
      </c>
      <c r="H3" t="s">
        <v>229</v>
      </c>
    </row>
    <row r="4" spans="1:8" x14ac:dyDescent="0.3">
      <c r="A4" s="25" t="s">
        <v>16</v>
      </c>
      <c r="B4" s="5">
        <v>28</v>
      </c>
      <c r="G4" s="25" t="s">
        <v>11</v>
      </c>
      <c r="H4" s="5">
        <v>27</v>
      </c>
    </row>
    <row r="5" spans="1:8" x14ac:dyDescent="0.3">
      <c r="A5" s="25" t="s">
        <v>11</v>
      </c>
      <c r="B5" s="5">
        <v>27</v>
      </c>
      <c r="G5" s="25" t="s">
        <v>16</v>
      </c>
      <c r="H5" s="5">
        <v>27</v>
      </c>
    </row>
    <row r="6" spans="1:8" x14ac:dyDescent="0.3">
      <c r="A6" s="25" t="s">
        <v>21</v>
      </c>
      <c r="B6" s="5">
        <v>19</v>
      </c>
      <c r="G6" s="25" t="s">
        <v>21</v>
      </c>
      <c r="H6" s="5">
        <v>19</v>
      </c>
    </row>
    <row r="7" spans="1:8" x14ac:dyDescent="0.3">
      <c r="A7" s="25" t="s">
        <v>23</v>
      </c>
      <c r="B7" s="5">
        <v>14</v>
      </c>
      <c r="G7" s="25" t="s">
        <v>23</v>
      </c>
      <c r="H7" s="5">
        <v>14</v>
      </c>
    </row>
    <row r="8" spans="1:8" x14ac:dyDescent="0.3">
      <c r="A8" s="25" t="s">
        <v>18</v>
      </c>
      <c r="B8" s="5">
        <v>4</v>
      </c>
      <c r="G8" s="25" t="s">
        <v>18</v>
      </c>
      <c r="H8" s="5">
        <v>4</v>
      </c>
    </row>
    <row r="9" spans="1:8" x14ac:dyDescent="0.3">
      <c r="A9" s="25" t="s">
        <v>244</v>
      </c>
      <c r="B9" s="5">
        <v>92</v>
      </c>
      <c r="G9" s="25" t="s">
        <v>244</v>
      </c>
      <c r="H9" s="5">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313C75-3C55-4FCB-B0A1-A907756363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New Zealand Staff</vt:lpstr>
      <vt:lpstr>Indian Staff</vt:lpstr>
      <vt:lpstr>Combined_Data</vt:lpstr>
      <vt:lpstr>3rd</vt:lpstr>
      <vt:lpstr>4th&amp;5th</vt:lpstr>
      <vt:lpstr>Charts</vt:lpstr>
      <vt:lpstr>2nd Chart</vt:lpstr>
      <vt:lpstr>3rd Chart</vt:lpstr>
      <vt:lpstr>Report</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teja</dc:creator>
  <cp:lastModifiedBy>Ravi teja</cp:lastModifiedBy>
  <dcterms:created xsi:type="dcterms:W3CDTF">2026-01-27T04:17:02Z</dcterms:created>
  <dcterms:modified xsi:type="dcterms:W3CDTF">2026-01-28T17:24:14Z</dcterms:modified>
</cp:coreProperties>
</file>